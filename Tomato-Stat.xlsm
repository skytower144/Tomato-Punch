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ame Projects\"/>
    </mc:Choice>
  </mc:AlternateContent>
  <xr:revisionPtr revIDLastSave="0" documentId="13_ncr:1_{F87E791F-B7BE-4A88-AF0D-E6F86C4EEA9A}" xr6:coauthVersionLast="47" xr6:coauthVersionMax="47" xr10:uidLastSave="{00000000-0000-0000-0000-000000000000}"/>
  <bookViews>
    <workbookView xWindow="1710" yWindow="1065" windowWidth="25770" windowHeight="13455" xr2:uid="{7F25DA54-3965-493D-BCEC-8BBDDFD5D7E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8" i="1" l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7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7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8" i="1"/>
  <c r="O9" i="1"/>
  <c r="O10" i="1"/>
  <c r="O11" i="1"/>
  <c r="O12" i="1"/>
  <c r="O13" i="1"/>
  <c r="O14" i="1"/>
  <c r="O15" i="1"/>
  <c r="O16" i="1"/>
  <c r="O7" i="1"/>
  <c r="F9" i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8" i="1"/>
  <c r="D9" i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8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B13" i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9" i="1"/>
  <c r="B10" i="1"/>
  <c r="B11" i="1" s="1"/>
  <c r="B12" i="1" s="1"/>
  <c r="B8" i="1"/>
  <c r="I7" i="1"/>
  <c r="Y7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9" i="1"/>
  <c r="U8" i="1"/>
  <c r="Y9" i="1" s="1"/>
  <c r="Q8" i="1" a="1"/>
  <c r="Q14" i="1" a="1"/>
  <c r="Q20" i="1" a="1"/>
  <c r="Q26" i="1" a="1"/>
  <c r="Q32" i="1" a="1"/>
  <c r="Q38" i="1" a="1"/>
  <c r="Q44" i="1" a="1"/>
  <c r="Q50" i="1" a="1"/>
  <c r="Q56" i="1" a="1"/>
  <c r="Q62" i="1" a="1"/>
  <c r="Q68" i="1" a="1"/>
  <c r="Q74" i="1" a="1"/>
  <c r="Q80" i="1" a="1"/>
  <c r="Q86" i="1" a="1"/>
  <c r="Q92" i="1" a="1"/>
  <c r="Q55" i="1" a="1"/>
  <c r="Q87" i="1" a="1"/>
  <c r="Q67" i="1" a="1"/>
  <c r="Q9" i="1" a="1"/>
  <c r="Q15" i="1" a="1"/>
  <c r="Q21" i="1" a="1"/>
  <c r="Q27" i="1" a="1"/>
  <c r="Q33" i="1" a="1"/>
  <c r="Q39" i="1" a="1"/>
  <c r="Q45" i="1" a="1"/>
  <c r="Q51" i="1" a="1"/>
  <c r="Q57" i="1" a="1"/>
  <c r="Q63" i="1" a="1"/>
  <c r="Q69" i="1" a="1"/>
  <c r="Q75" i="1" a="1"/>
  <c r="Q81" i="1" a="1"/>
  <c r="Q93" i="1" a="1"/>
  <c r="Q99" i="1" a="1"/>
  <c r="Q49" i="1" a="1"/>
  <c r="Q76" i="1" a="1"/>
  <c r="Q10" i="1" a="1"/>
  <c r="Q16" i="1" a="1"/>
  <c r="Q22" i="1" a="1"/>
  <c r="Q28" i="1" a="1"/>
  <c r="Q34" i="1" a="1"/>
  <c r="Q40" i="1" a="1"/>
  <c r="Q46" i="1" a="1"/>
  <c r="Q52" i="1" a="1"/>
  <c r="Q58" i="1" a="1"/>
  <c r="Q64" i="1" a="1"/>
  <c r="Q70" i="1" a="1"/>
  <c r="Q82" i="1" a="1"/>
  <c r="Q88" i="1" a="1"/>
  <c r="Q94" i="1" a="1"/>
  <c r="Q73" i="1" a="1"/>
  <c r="Q83" i="1" a="1"/>
  <c r="Q79" i="1" a="1"/>
  <c r="Q11" i="1" a="1"/>
  <c r="Q17" i="1" a="1"/>
  <c r="Q23" i="1" a="1"/>
  <c r="Q29" i="1" a="1"/>
  <c r="Q35" i="1" a="1"/>
  <c r="Q41" i="1" a="1"/>
  <c r="Q47" i="1" a="1"/>
  <c r="Q53" i="1" a="1"/>
  <c r="Q59" i="1" a="1"/>
  <c r="Q65" i="1" a="1"/>
  <c r="Q71" i="1" a="1"/>
  <c r="Q77" i="1" a="1"/>
  <c r="Q89" i="1" a="1"/>
  <c r="Q95" i="1" a="1"/>
  <c r="Q91" i="1" a="1"/>
  <c r="Q25" i="1" a="1"/>
  <c r="Q12" i="1" a="1"/>
  <c r="Q18" i="1" a="1"/>
  <c r="Q24" i="1" a="1"/>
  <c r="Q30" i="1" a="1"/>
  <c r="Q36" i="1" a="1"/>
  <c r="Q42" i="1" a="1"/>
  <c r="Q48" i="1" a="1"/>
  <c r="Q54" i="1" a="1"/>
  <c r="Q60" i="1" a="1"/>
  <c r="Q66" i="1" a="1"/>
  <c r="Q72" i="1" a="1"/>
  <c r="Q78" i="1" a="1"/>
  <c r="Q84" i="1" a="1"/>
  <c r="Q90" i="1" a="1"/>
  <c r="Q96" i="1" a="1"/>
  <c r="Q19" i="1" a="1"/>
  <c r="Q37" i="1" a="1"/>
  <c r="Q61" i="1" a="1"/>
  <c r="Q97" i="1" a="1"/>
  <c r="Q13" i="1" a="1"/>
  <c r="Q31" i="1" a="1"/>
  <c r="Q43" i="1" a="1"/>
  <c r="Q85" i="1" a="1"/>
  <c r="Q98" i="1" a="1"/>
  <c r="Q7" i="1" a="1"/>
  <c r="Q98" i="1" l="1"/>
  <c r="Q85" i="1"/>
  <c r="Q43" i="1"/>
  <c r="Q31" i="1"/>
  <c r="Q13" i="1"/>
  <c r="Q97" i="1"/>
  <c r="Q61" i="1"/>
  <c r="Q37" i="1"/>
  <c r="Q19" i="1"/>
  <c r="Q96" i="1"/>
  <c r="Q90" i="1"/>
  <c r="Q84" i="1"/>
  <c r="Q78" i="1"/>
  <c r="Q72" i="1"/>
  <c r="Q66" i="1"/>
  <c r="Q60" i="1"/>
  <c r="Q54" i="1"/>
  <c r="Q48" i="1"/>
  <c r="Q42" i="1"/>
  <c r="Q36" i="1"/>
  <c r="Q30" i="1"/>
  <c r="Q24" i="1"/>
  <c r="Q18" i="1"/>
  <c r="Q12" i="1"/>
  <c r="Q25" i="1"/>
  <c r="Q91" i="1"/>
  <c r="Q95" i="1"/>
  <c r="Q89" i="1"/>
  <c r="Q77" i="1"/>
  <c r="Q71" i="1"/>
  <c r="Q65" i="1"/>
  <c r="Q59" i="1"/>
  <c r="Q53" i="1"/>
  <c r="Q47" i="1"/>
  <c r="Q41" i="1"/>
  <c r="Q35" i="1"/>
  <c r="Q29" i="1"/>
  <c r="Q23" i="1"/>
  <c r="Q17" i="1"/>
  <c r="Q11" i="1"/>
  <c r="Q79" i="1"/>
  <c r="Q83" i="1"/>
  <c r="Q73" i="1"/>
  <c r="Q94" i="1"/>
  <c r="Q88" i="1"/>
  <c r="Q82" i="1"/>
  <c r="Q70" i="1"/>
  <c r="Q64" i="1"/>
  <c r="Q58" i="1"/>
  <c r="Q52" i="1"/>
  <c r="Q46" i="1"/>
  <c r="Q40" i="1"/>
  <c r="Q34" i="1"/>
  <c r="Q28" i="1"/>
  <c r="Q22" i="1"/>
  <c r="Q16" i="1"/>
  <c r="Q10" i="1"/>
  <c r="Q76" i="1"/>
  <c r="Q49" i="1"/>
  <c r="Q99" i="1"/>
  <c r="Q93" i="1"/>
  <c r="Q81" i="1"/>
  <c r="Q75" i="1"/>
  <c r="Q69" i="1"/>
  <c r="Q63" i="1"/>
  <c r="Q57" i="1"/>
  <c r="Q51" i="1"/>
  <c r="Q45" i="1"/>
  <c r="Q39" i="1"/>
  <c r="Q33" i="1"/>
  <c r="Q27" i="1"/>
  <c r="Q21" i="1"/>
  <c r="Q15" i="1"/>
  <c r="Q9" i="1"/>
  <c r="Q67" i="1"/>
  <c r="Q87" i="1"/>
  <c r="Q55" i="1"/>
  <c r="Q92" i="1"/>
  <c r="Q86" i="1"/>
  <c r="Q80" i="1"/>
  <c r="Q74" i="1"/>
  <c r="Q68" i="1"/>
  <c r="Q62" i="1"/>
  <c r="Q56" i="1"/>
  <c r="Q50" i="1"/>
  <c r="Q44" i="1"/>
  <c r="Q38" i="1"/>
  <c r="Q32" i="1"/>
  <c r="Q26" i="1"/>
  <c r="Q20" i="1"/>
  <c r="Q14" i="1"/>
  <c r="Q8" i="1"/>
  <c r="Q7" i="1"/>
  <c r="Y27" i="1"/>
  <c r="Y11" i="1"/>
  <c r="Y29" i="1"/>
  <c r="Y10" i="1"/>
  <c r="Y18" i="1"/>
  <c r="Y8" i="1"/>
  <c r="Y26" i="1"/>
  <c r="Y25" i="1"/>
  <c r="Y37" i="1"/>
  <c r="Y36" i="1"/>
  <c r="Y24" i="1"/>
  <c r="Y28" i="1"/>
  <c r="Y17" i="1"/>
  <c r="Y35" i="1"/>
  <c r="Y23" i="1"/>
  <c r="Y16" i="1"/>
  <c r="Y34" i="1"/>
  <c r="Y22" i="1"/>
  <c r="Y15" i="1"/>
  <c r="Y33" i="1"/>
  <c r="Y21" i="1"/>
  <c r="Y14" i="1"/>
  <c r="Y32" i="1"/>
  <c r="Y20" i="1"/>
  <c r="Y13" i="1"/>
  <c r="Y31" i="1"/>
  <c r="Y19" i="1"/>
  <c r="Y12" i="1"/>
  <c r="Y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<sst xmlns="http://schemas.openxmlformats.org/spreadsheetml/2006/main" count="21" uniqueCount="20">
  <si>
    <t>Tomato Punch</t>
    <phoneticPr fontId="1" type="noConversion"/>
  </si>
  <si>
    <t>2022.05.27</t>
    <phoneticPr fontId="1" type="noConversion"/>
  </si>
  <si>
    <t>Level</t>
    <phoneticPr fontId="1" type="noConversion"/>
  </si>
  <si>
    <t>ATK</t>
    <phoneticPr fontId="1" type="noConversion"/>
  </si>
  <si>
    <t>HP</t>
    <phoneticPr fontId="1" type="noConversion"/>
  </si>
  <si>
    <t>DEF</t>
    <phoneticPr fontId="1" type="noConversion"/>
  </si>
  <si>
    <t>Normal Punch</t>
    <phoneticPr fontId="1" type="noConversion"/>
  </si>
  <si>
    <t>Gatle Punch</t>
    <phoneticPr fontId="1" type="noConversion"/>
  </si>
  <si>
    <t>Upper Punch</t>
    <phoneticPr fontId="1" type="noConversion"/>
  </si>
  <si>
    <t>Skill Damage</t>
    <phoneticPr fontId="1" type="noConversion"/>
  </si>
  <si>
    <t>Super</t>
    <phoneticPr fontId="1" type="noConversion"/>
  </si>
  <si>
    <t>EXP</t>
    <phoneticPr fontId="1" type="noConversion"/>
  </si>
  <si>
    <t>Level x (Level + 1) x Value - Value x 2</t>
    <phoneticPr fontId="1" type="noConversion"/>
  </si>
  <si>
    <t>Sum</t>
    <phoneticPr fontId="1" type="noConversion"/>
  </si>
  <si>
    <t>ATK x 0.4</t>
    <phoneticPr fontId="1" type="noConversion"/>
  </si>
  <si>
    <t>Points</t>
    <phoneticPr fontId="1" type="noConversion"/>
  </si>
  <si>
    <t>Max Level : 31</t>
    <phoneticPr fontId="1" type="noConversion"/>
  </si>
  <si>
    <t>ATK * 1.7</t>
    <phoneticPr fontId="1" type="noConversion"/>
  </si>
  <si>
    <t>ATK * 1.3</t>
    <phoneticPr fontId="1" type="noConversion"/>
  </si>
  <si>
    <t>ATK x 0.1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</si>
</sst>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444444"/>
      <name val="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FF99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BEFE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7B7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2" fillId="5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0" borderId="0" xfId="0" applyBorder="1">
      <alignment vertical="center"/>
    </xf>
    <xf numFmtId="0" fontId="0" fillId="6" borderId="0" xfId="0" applyFill="1">
      <alignment vertical="center"/>
    </xf>
    <xf numFmtId="0" fontId="0" fillId="0" borderId="0" xfId="0" applyFont="1">
      <alignment vertical="center"/>
    </xf>
    <xf numFmtId="0" fontId="0" fillId="0" borderId="14" xfId="0" applyBorder="1">
      <alignment vertical="center"/>
    </xf>
    <xf numFmtId="0" fontId="0" fillId="7" borderId="15" xfId="0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5" fillId="12" borderId="7" xfId="0" applyFont="1" applyFill="1" applyBorder="1" applyAlignment="1">
      <alignment horizontal="center" vertical="center"/>
    </xf>
    <xf numFmtId="0" fontId="5" fillId="12" borderId="8" xfId="0" applyFont="1" applyFill="1" applyBorder="1" applyAlignment="1">
      <alignment horizontal="center" vertical="center"/>
    </xf>
    <xf numFmtId="0" fontId="5" fillId="12" borderId="9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3" borderId="7" xfId="0" applyFill="1" applyBorder="1" applyAlignment="1">
      <alignment horizontal="right" vertical="center"/>
    </xf>
    <xf numFmtId="0" fontId="0" fillId="3" borderId="8" xfId="0" applyFill="1" applyBorder="1" applyAlignment="1">
      <alignment horizontal="right" vertical="center"/>
    </xf>
    <xf numFmtId="0" fontId="0" fillId="3" borderId="9" xfId="0" applyFill="1" applyBorder="1" applyAlignment="1">
      <alignment horizontal="right" vertical="center"/>
    </xf>
    <xf numFmtId="0" fontId="0" fillId="10" borderId="1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4" fillId="11" borderId="4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B7B7"/>
      <color rgb="FFFF8F8F"/>
      <color rgb="FFFFCCCC"/>
      <color rgb="FFFCE6D0"/>
      <color rgb="FFFBEFE5"/>
      <color rgb="FFFFFBCD"/>
      <color rgb="FFFDF6CF"/>
      <color rgb="FFF6FDCF"/>
      <color rgb="FFFF7C80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88F6-32DA-4854-84C5-6E20F71C1437}">
  <sheetPr codeName="Sheet1"/>
  <dimension ref="A1:AA99"/>
  <sheetViews>
    <sheetView tabSelected="1" topLeftCell="A85" workbookViewId="0">
      <selection activeCell="K28" sqref="K28:L28"/>
    </sheetView>
  </sheetViews>
  <sheetFormatPr defaultRowHeight="16.5" x14ac:dyDescent="0.3"/>
  <sheetData>
    <row r="1" spans="1:26" x14ac:dyDescent="0.3">
      <c r="B1" s="29" t="s">
        <v>0</v>
      </c>
      <c r="C1" s="30"/>
      <c r="D1" s="30"/>
      <c r="E1" s="30"/>
      <c r="F1" s="30"/>
      <c r="G1" s="31"/>
    </row>
    <row r="2" spans="1:26" ht="17.25" thickBot="1" x14ac:dyDescent="0.35">
      <c r="B2" s="32"/>
      <c r="C2" s="33"/>
      <c r="D2" s="33"/>
      <c r="E2" s="33"/>
      <c r="F2" s="33"/>
      <c r="G2" s="34"/>
    </row>
    <row r="3" spans="1:26" ht="17.25" thickBot="1" x14ac:dyDescent="0.35">
      <c r="B3" s="35" t="s">
        <v>1</v>
      </c>
      <c r="C3" s="36"/>
      <c r="D3" s="36"/>
      <c r="E3" s="36"/>
      <c r="F3" s="36"/>
      <c r="G3" s="37"/>
      <c r="I3" s="38" t="s">
        <v>6</v>
      </c>
      <c r="J3" s="39"/>
      <c r="K3" s="38" t="s">
        <v>7</v>
      </c>
      <c r="L3" s="39"/>
      <c r="M3" s="38" t="s">
        <v>8</v>
      </c>
      <c r="N3" s="39"/>
      <c r="O3" s="38" t="s">
        <v>10</v>
      </c>
      <c r="P3" s="39"/>
      <c r="Q3" s="44" t="s">
        <v>9</v>
      </c>
      <c r="R3" s="45"/>
    </row>
    <row r="4" spans="1:26" x14ac:dyDescent="0.3">
      <c r="B4" s="15" t="s">
        <v>16</v>
      </c>
      <c r="C4" s="16"/>
      <c r="D4" s="16"/>
      <c r="E4" s="16"/>
      <c r="F4" s="17"/>
      <c r="G4" s="50">
        <v>3</v>
      </c>
      <c r="I4" s="40" t="s">
        <v>14</v>
      </c>
      <c r="J4" s="41"/>
      <c r="K4" s="40" t="s">
        <v>19</v>
      </c>
      <c r="L4" s="41"/>
      <c r="M4" s="40" t="s">
        <v>18</v>
      </c>
      <c r="N4" s="41"/>
      <c r="O4" s="40" t="s">
        <v>17</v>
      </c>
      <c r="P4" s="41"/>
      <c r="Q4" s="46">
        <v>80</v>
      </c>
      <c r="R4" s="47"/>
      <c r="U4" s="15" t="s">
        <v>11</v>
      </c>
      <c r="V4" s="16"/>
      <c r="W4" s="17"/>
      <c r="X4" s="21">
        <v>13</v>
      </c>
    </row>
    <row r="5" spans="1:26" ht="17.25" thickBot="1" x14ac:dyDescent="0.35">
      <c r="B5" s="18"/>
      <c r="C5" s="19"/>
      <c r="D5" s="19"/>
      <c r="E5" s="19"/>
      <c r="F5" s="20"/>
      <c r="G5" s="51"/>
      <c r="I5" s="42"/>
      <c r="J5" s="43"/>
      <c r="K5" s="42"/>
      <c r="L5" s="43"/>
      <c r="M5" s="42"/>
      <c r="N5" s="43"/>
      <c r="O5" s="42"/>
      <c r="P5" s="43"/>
      <c r="Q5" s="48"/>
      <c r="R5" s="49"/>
      <c r="U5" s="18"/>
      <c r="V5" s="19"/>
      <c r="W5" s="20"/>
      <c r="X5" s="22"/>
    </row>
    <row r="6" spans="1:26" ht="17.25" thickBot="1" x14ac:dyDescent="0.35">
      <c r="A6" s="9" t="s">
        <v>15</v>
      </c>
      <c r="B6" s="26" t="s">
        <v>3</v>
      </c>
      <c r="C6" s="26"/>
      <c r="D6" s="27" t="s">
        <v>4</v>
      </c>
      <c r="E6" s="27"/>
      <c r="F6" s="28" t="s">
        <v>5</v>
      </c>
      <c r="G6" s="28"/>
      <c r="I6" s="26" t="s">
        <v>3</v>
      </c>
      <c r="J6" s="26"/>
      <c r="K6" s="26"/>
      <c r="L6" s="26"/>
      <c r="M6" s="26"/>
      <c r="N6" s="26"/>
      <c r="O6" s="26"/>
      <c r="P6" s="26"/>
      <c r="Q6" s="4"/>
      <c r="R6" s="4"/>
      <c r="T6" s="1" t="s">
        <v>2</v>
      </c>
      <c r="U6" s="23" t="s">
        <v>12</v>
      </c>
      <c r="V6" s="24"/>
      <c r="W6" s="24"/>
      <c r="X6" s="25"/>
      <c r="Y6" s="7" t="s">
        <v>13</v>
      </c>
    </row>
    <row r="7" spans="1:26" x14ac:dyDescent="0.3">
      <c r="A7" s="8">
        <v>1</v>
      </c>
      <c r="B7" s="12">
        <v>5</v>
      </c>
      <c r="C7" s="11"/>
      <c r="D7" s="12">
        <v>10</v>
      </c>
      <c r="E7" s="11"/>
      <c r="F7" s="10">
        <v>4</v>
      </c>
      <c r="G7" s="11"/>
      <c r="I7" s="12">
        <f>B7 * 0.4</f>
        <v>2</v>
      </c>
      <c r="J7" s="10"/>
      <c r="K7" s="13">
        <f>B7 * 0.1</f>
        <v>0.5</v>
      </c>
      <c r="L7" s="13"/>
      <c r="M7" s="13">
        <f>B7 * 1.3</f>
        <v>6.5</v>
      </c>
      <c r="N7" s="13"/>
      <c r="O7" s="10">
        <f xml:space="preserve"> B7 * 1.7</f>
        <v>8.5</v>
      </c>
      <c r="P7" s="11"/>
      <c r="Q7" s="12" cm="1">
        <f t="array" ref="Q7">SkillFormula(Q$4,B7)</f>
        <v>7.2</v>
      </c>
      <c r="R7" s="11"/>
      <c r="T7" s="2">
        <v>1</v>
      </c>
      <c r="U7" s="14">
        <v>30</v>
      </c>
      <c r="V7" s="14"/>
      <c r="W7" s="14"/>
      <c r="X7" s="14"/>
      <c r="Y7" s="6">
        <f>SUM(U$7:U7)</f>
        <v>30</v>
      </c>
    </row>
    <row r="8" spans="1:26" x14ac:dyDescent="0.3">
      <c r="A8" s="8">
        <v>2</v>
      </c>
      <c r="B8" s="12">
        <f xml:space="preserve"> B7 + 2</f>
        <v>7</v>
      </c>
      <c r="C8" s="11"/>
      <c r="D8" s="12">
        <f xml:space="preserve"> D7 + 10</f>
        <v>20</v>
      </c>
      <c r="E8" s="11"/>
      <c r="F8" s="12">
        <f xml:space="preserve"> F7 + 5</f>
        <v>9</v>
      </c>
      <c r="G8" s="11"/>
      <c r="I8" s="12">
        <f t="shared" ref="I8:I37" si="0">B8 * 0.4</f>
        <v>2.8000000000000003</v>
      </c>
      <c r="J8" s="10"/>
      <c r="K8" s="13">
        <f t="shared" ref="K8:K71" si="1">B8 * 0.1</f>
        <v>0.70000000000000007</v>
      </c>
      <c r="L8" s="13"/>
      <c r="M8" s="13">
        <f t="shared" ref="M8:M71" si="2">B8 * 1.3</f>
        <v>9.1</v>
      </c>
      <c r="N8" s="13"/>
      <c r="O8" s="10">
        <f t="shared" ref="O8:O16" si="3" xml:space="preserve"> B8 * 1.7</f>
        <v>11.9</v>
      </c>
      <c r="P8" s="11"/>
      <c r="Q8" s="12" cm="1">
        <f t="array" ref="Q8">SkillFormula(Q$4,B8)</f>
        <v>10.08</v>
      </c>
      <c r="R8" s="11"/>
      <c r="T8" s="2">
        <v>2</v>
      </c>
      <c r="U8" s="14">
        <f t="shared" ref="U8:U37" si="4" xml:space="preserve"> T8 * (T8 + 1) * X$4 - X$4*2</f>
        <v>52</v>
      </c>
      <c r="V8" s="14"/>
      <c r="W8" s="14"/>
      <c r="X8" s="14"/>
      <c r="Y8" s="6">
        <f>SUM(U$7:U8)</f>
        <v>82</v>
      </c>
      <c r="Z8" s="3"/>
    </row>
    <row r="9" spans="1:26" x14ac:dyDescent="0.3">
      <c r="A9" s="8">
        <v>3</v>
      </c>
      <c r="B9" s="12">
        <f t="shared" ref="B9:B12" si="5" xml:space="preserve"> B8 + 2</f>
        <v>9</v>
      </c>
      <c r="C9" s="11"/>
      <c r="D9" s="12">
        <f t="shared" ref="D9:D72" si="6" xml:space="preserve"> D8 + 10</f>
        <v>30</v>
      </c>
      <c r="E9" s="11"/>
      <c r="F9" s="12">
        <f t="shared" ref="F9:F72" si="7" xml:space="preserve"> F8 + 5</f>
        <v>14</v>
      </c>
      <c r="G9" s="11"/>
      <c r="I9" s="12">
        <f t="shared" si="0"/>
        <v>3.6</v>
      </c>
      <c r="J9" s="10"/>
      <c r="K9" s="13">
        <f t="shared" si="1"/>
        <v>0.9</v>
      </c>
      <c r="L9" s="13"/>
      <c r="M9" s="13">
        <f t="shared" si="2"/>
        <v>11.700000000000001</v>
      </c>
      <c r="N9" s="13"/>
      <c r="O9" s="10">
        <f t="shared" si="3"/>
        <v>15.299999999999999</v>
      </c>
      <c r="P9" s="11"/>
      <c r="Q9" s="12" cm="1">
        <f t="array" ref="Q9">SkillFormula(Q$4,B9)</f>
        <v>12.96</v>
      </c>
      <c r="R9" s="11"/>
      <c r="T9" s="2">
        <v>3</v>
      </c>
      <c r="U9" s="14">
        <f t="shared" si="4"/>
        <v>130</v>
      </c>
      <c r="V9" s="14"/>
      <c r="W9" s="14"/>
      <c r="X9" s="14"/>
      <c r="Y9" s="6">
        <f>SUM(U$7:U9)</f>
        <v>212</v>
      </c>
      <c r="Z9" s="3"/>
    </row>
    <row r="10" spans="1:26" x14ac:dyDescent="0.3">
      <c r="A10" s="8">
        <v>4</v>
      </c>
      <c r="B10" s="12">
        <f t="shared" si="5"/>
        <v>11</v>
      </c>
      <c r="C10" s="11"/>
      <c r="D10" s="12">
        <f t="shared" si="6"/>
        <v>40</v>
      </c>
      <c r="E10" s="11"/>
      <c r="F10" s="12">
        <f t="shared" si="7"/>
        <v>19</v>
      </c>
      <c r="G10" s="11"/>
      <c r="I10" s="12">
        <f t="shared" si="0"/>
        <v>4.4000000000000004</v>
      </c>
      <c r="J10" s="10"/>
      <c r="K10" s="13">
        <f t="shared" si="1"/>
        <v>1.1000000000000001</v>
      </c>
      <c r="L10" s="13"/>
      <c r="M10" s="13">
        <f t="shared" si="2"/>
        <v>14.3</v>
      </c>
      <c r="N10" s="13"/>
      <c r="O10" s="10">
        <f t="shared" si="3"/>
        <v>18.7</v>
      </c>
      <c r="P10" s="11"/>
      <c r="Q10" s="12" cm="1">
        <f t="array" ref="Q10">SkillFormula(Q$4,B10)</f>
        <v>15.840000000000002</v>
      </c>
      <c r="R10" s="11"/>
      <c r="T10" s="2">
        <v>4</v>
      </c>
      <c r="U10" s="14">
        <f t="shared" si="4"/>
        <v>234</v>
      </c>
      <c r="V10" s="14"/>
      <c r="W10" s="14"/>
      <c r="X10" s="14"/>
      <c r="Y10" s="6">
        <f>SUM(U$7:U10)</f>
        <v>446</v>
      </c>
      <c r="Z10" s="3"/>
    </row>
    <row r="11" spans="1:26" x14ac:dyDescent="0.3">
      <c r="A11" s="8">
        <v>5</v>
      </c>
      <c r="B11" s="12">
        <f t="shared" si="5"/>
        <v>13</v>
      </c>
      <c r="C11" s="11"/>
      <c r="D11" s="12">
        <f t="shared" si="6"/>
        <v>50</v>
      </c>
      <c r="E11" s="11"/>
      <c r="F11" s="12">
        <f t="shared" si="7"/>
        <v>24</v>
      </c>
      <c r="G11" s="11"/>
      <c r="I11" s="12">
        <f t="shared" si="0"/>
        <v>5.2</v>
      </c>
      <c r="J11" s="10"/>
      <c r="K11" s="13">
        <f t="shared" si="1"/>
        <v>1.3</v>
      </c>
      <c r="L11" s="13"/>
      <c r="M11" s="13">
        <f t="shared" si="2"/>
        <v>16.900000000000002</v>
      </c>
      <c r="N11" s="13"/>
      <c r="O11" s="10">
        <f t="shared" si="3"/>
        <v>22.099999999999998</v>
      </c>
      <c r="P11" s="11"/>
      <c r="Q11" s="12" cm="1">
        <f t="array" ref="Q11">SkillFormula(Q$4,B11)</f>
        <v>18.72</v>
      </c>
      <c r="R11" s="11"/>
      <c r="T11" s="2">
        <v>5</v>
      </c>
      <c r="U11" s="14">
        <f t="shared" si="4"/>
        <v>364</v>
      </c>
      <c r="V11" s="14"/>
      <c r="W11" s="14"/>
      <c r="X11" s="14"/>
      <c r="Y11" s="6">
        <f>SUM(U$7:U11)</f>
        <v>810</v>
      </c>
      <c r="Z11" s="3"/>
    </row>
    <row r="12" spans="1:26" x14ac:dyDescent="0.3">
      <c r="A12" s="8">
        <v>6</v>
      </c>
      <c r="B12" s="12">
        <f t="shared" si="5"/>
        <v>15</v>
      </c>
      <c r="C12" s="11"/>
      <c r="D12" s="12">
        <f t="shared" si="6"/>
        <v>60</v>
      </c>
      <c r="E12" s="11"/>
      <c r="F12" s="12">
        <f t="shared" si="7"/>
        <v>29</v>
      </c>
      <c r="G12" s="11"/>
      <c r="I12" s="12">
        <f t="shared" si="0"/>
        <v>6</v>
      </c>
      <c r="J12" s="10"/>
      <c r="K12" s="13">
        <f t="shared" si="1"/>
        <v>1.5</v>
      </c>
      <c r="L12" s="13"/>
      <c r="M12" s="13">
        <f t="shared" si="2"/>
        <v>19.5</v>
      </c>
      <c r="N12" s="13"/>
      <c r="O12" s="10">
        <f t="shared" si="3"/>
        <v>25.5</v>
      </c>
      <c r="P12" s="11"/>
      <c r="Q12" s="12" cm="1">
        <f t="array" ref="Q12">SkillFormula(Q$4,B12)</f>
        <v>21.6</v>
      </c>
      <c r="R12" s="11"/>
      <c r="T12" s="2">
        <v>6</v>
      </c>
      <c r="U12" s="14">
        <f t="shared" si="4"/>
        <v>520</v>
      </c>
      <c r="V12" s="14"/>
      <c r="W12" s="14"/>
      <c r="X12" s="14"/>
      <c r="Y12" s="6">
        <f>SUM(U$7:U12)</f>
        <v>1330</v>
      </c>
      <c r="Z12" s="3"/>
    </row>
    <row r="13" spans="1:26" x14ac:dyDescent="0.3">
      <c r="A13" s="8">
        <v>7</v>
      </c>
      <c r="B13" s="12">
        <f t="shared" ref="B13:B76" si="8" xml:space="preserve"> B12 + 2</f>
        <v>17</v>
      </c>
      <c r="C13" s="11"/>
      <c r="D13" s="12">
        <f t="shared" si="6"/>
        <v>70</v>
      </c>
      <c r="E13" s="11"/>
      <c r="F13" s="12">
        <f t="shared" si="7"/>
        <v>34</v>
      </c>
      <c r="G13" s="11"/>
      <c r="I13" s="12">
        <f t="shared" si="0"/>
        <v>6.8000000000000007</v>
      </c>
      <c r="J13" s="10"/>
      <c r="K13" s="13">
        <f t="shared" si="1"/>
        <v>1.7000000000000002</v>
      </c>
      <c r="L13" s="13"/>
      <c r="M13" s="13">
        <f t="shared" si="2"/>
        <v>22.1</v>
      </c>
      <c r="N13" s="13"/>
      <c r="O13" s="10">
        <f t="shared" si="3"/>
        <v>28.9</v>
      </c>
      <c r="P13" s="11"/>
      <c r="Q13" s="12" cm="1">
        <f t="array" ref="Q13">SkillFormula(Q$4,B13)</f>
        <v>24.480000000000004</v>
      </c>
      <c r="R13" s="11"/>
      <c r="T13" s="2">
        <v>7</v>
      </c>
      <c r="U13" s="14">
        <f t="shared" si="4"/>
        <v>702</v>
      </c>
      <c r="V13" s="14"/>
      <c r="W13" s="14"/>
      <c r="X13" s="14"/>
      <c r="Y13" s="6">
        <f>SUM(U$7:U13)</f>
        <v>2032</v>
      </c>
      <c r="Z13" s="3"/>
    </row>
    <row r="14" spans="1:26" x14ac:dyDescent="0.3">
      <c r="A14" s="8">
        <v>8</v>
      </c>
      <c r="B14" s="12">
        <f t="shared" si="8"/>
        <v>19</v>
      </c>
      <c r="C14" s="11"/>
      <c r="D14" s="12">
        <f t="shared" si="6"/>
        <v>80</v>
      </c>
      <c r="E14" s="11"/>
      <c r="F14" s="12">
        <f t="shared" si="7"/>
        <v>39</v>
      </c>
      <c r="G14" s="11"/>
      <c r="I14" s="12">
        <f t="shared" si="0"/>
        <v>7.6000000000000005</v>
      </c>
      <c r="J14" s="10"/>
      <c r="K14" s="13">
        <f t="shared" si="1"/>
        <v>1.9000000000000001</v>
      </c>
      <c r="L14" s="13"/>
      <c r="M14" s="13">
        <f t="shared" si="2"/>
        <v>24.7</v>
      </c>
      <c r="N14" s="13"/>
      <c r="O14" s="10">
        <f t="shared" si="3"/>
        <v>32.299999999999997</v>
      </c>
      <c r="P14" s="11"/>
      <c r="Q14" s="12" cm="1">
        <f t="array" ref="Q14">SkillFormula(Q$4,B14)</f>
        <v>27.360000000000003</v>
      </c>
      <c r="R14" s="11"/>
      <c r="T14" s="2">
        <v>8</v>
      </c>
      <c r="U14" s="14">
        <f t="shared" si="4"/>
        <v>910</v>
      </c>
      <c r="V14" s="14"/>
      <c r="W14" s="14"/>
      <c r="X14" s="14"/>
      <c r="Y14" s="6">
        <f>SUM(U$7:U14)</f>
        <v>2942</v>
      </c>
      <c r="Z14" s="3"/>
    </row>
    <row r="15" spans="1:26" x14ac:dyDescent="0.3">
      <c r="A15" s="8">
        <v>9</v>
      </c>
      <c r="B15" s="12">
        <f t="shared" si="8"/>
        <v>21</v>
      </c>
      <c r="C15" s="11"/>
      <c r="D15" s="12">
        <f t="shared" si="6"/>
        <v>90</v>
      </c>
      <c r="E15" s="11"/>
      <c r="F15" s="12">
        <f t="shared" si="7"/>
        <v>44</v>
      </c>
      <c r="G15" s="11"/>
      <c r="I15" s="12">
        <f t="shared" si="0"/>
        <v>8.4</v>
      </c>
      <c r="J15" s="10"/>
      <c r="K15" s="13">
        <f t="shared" si="1"/>
        <v>2.1</v>
      </c>
      <c r="L15" s="13"/>
      <c r="M15" s="13">
        <f t="shared" si="2"/>
        <v>27.3</v>
      </c>
      <c r="N15" s="13"/>
      <c r="O15" s="10">
        <f t="shared" si="3"/>
        <v>35.699999999999996</v>
      </c>
      <c r="P15" s="11"/>
      <c r="Q15" s="12" cm="1">
        <f t="array" ref="Q15">SkillFormula(Q$4,B15)</f>
        <v>30.24</v>
      </c>
      <c r="R15" s="11"/>
      <c r="T15" s="2">
        <v>9</v>
      </c>
      <c r="U15" s="14">
        <f t="shared" si="4"/>
        <v>1144</v>
      </c>
      <c r="V15" s="14"/>
      <c r="W15" s="14"/>
      <c r="X15" s="14"/>
      <c r="Y15" s="6">
        <f>SUM(U$7:U15)</f>
        <v>4086</v>
      </c>
      <c r="Z15" s="3"/>
    </row>
    <row r="16" spans="1:26" x14ac:dyDescent="0.3">
      <c r="A16" s="8">
        <v>10</v>
      </c>
      <c r="B16" s="12">
        <f t="shared" si="8"/>
        <v>23</v>
      </c>
      <c r="C16" s="11"/>
      <c r="D16" s="12">
        <f t="shared" si="6"/>
        <v>100</v>
      </c>
      <c r="E16" s="11"/>
      <c r="F16" s="12">
        <f t="shared" si="7"/>
        <v>49</v>
      </c>
      <c r="G16" s="11"/>
      <c r="I16" s="12">
        <f t="shared" si="0"/>
        <v>9.2000000000000011</v>
      </c>
      <c r="J16" s="10"/>
      <c r="K16" s="13">
        <f t="shared" si="1"/>
        <v>2.3000000000000003</v>
      </c>
      <c r="L16" s="13"/>
      <c r="M16" s="13">
        <f t="shared" si="2"/>
        <v>29.900000000000002</v>
      </c>
      <c r="N16" s="13"/>
      <c r="O16" s="10">
        <f t="shared" si="3"/>
        <v>39.1</v>
      </c>
      <c r="P16" s="11"/>
      <c r="Q16" s="12" cm="1">
        <f t="array" ref="Q16">SkillFormula(Q$4,B16)</f>
        <v>33.119999999999997</v>
      </c>
      <c r="R16" s="11"/>
      <c r="T16" s="2">
        <v>10</v>
      </c>
      <c r="U16" s="14">
        <f t="shared" si="4"/>
        <v>1404</v>
      </c>
      <c r="V16" s="14"/>
      <c r="W16" s="14"/>
      <c r="X16" s="14"/>
      <c r="Y16" s="6">
        <f>SUM(U$7:U16)</f>
        <v>5490</v>
      </c>
      <c r="Z16" s="3"/>
    </row>
    <row r="17" spans="1:27" x14ac:dyDescent="0.3">
      <c r="A17" s="8">
        <v>11</v>
      </c>
      <c r="B17" s="12">
        <f t="shared" si="8"/>
        <v>25</v>
      </c>
      <c r="C17" s="11"/>
      <c r="D17" s="12">
        <f t="shared" si="6"/>
        <v>110</v>
      </c>
      <c r="E17" s="11"/>
      <c r="F17" s="12">
        <f t="shared" si="7"/>
        <v>54</v>
      </c>
      <c r="G17" s="11"/>
      <c r="I17" s="12">
        <f t="shared" si="0"/>
        <v>10</v>
      </c>
      <c r="J17" s="10"/>
      <c r="K17" s="13">
        <f t="shared" si="1"/>
        <v>2.5</v>
      </c>
      <c r="L17" s="13"/>
      <c r="M17" s="13">
        <f t="shared" si="2"/>
        <v>32.5</v>
      </c>
      <c r="N17" s="13"/>
      <c r="O17" s="10">
        <f t="shared" ref="O17:O31" si="9" xml:space="preserve"> B17 * 1.7</f>
        <v>42.5</v>
      </c>
      <c r="P17" s="11"/>
      <c r="Q17" s="12" cm="1">
        <f t="array" ref="Q17">SkillFormula(Q$4,B17)</f>
        <v>36</v>
      </c>
      <c r="R17" s="11"/>
      <c r="T17" s="2">
        <v>11</v>
      </c>
      <c r="U17" s="14">
        <f t="shared" si="4"/>
        <v>1690</v>
      </c>
      <c r="V17" s="14"/>
      <c r="W17" s="14"/>
      <c r="X17" s="14"/>
      <c r="Y17" s="6">
        <f>SUM(U$7:U17)</f>
        <v>7180</v>
      </c>
      <c r="Z17" s="3"/>
    </row>
    <row r="18" spans="1:27" x14ac:dyDescent="0.3">
      <c r="A18" s="8">
        <v>12</v>
      </c>
      <c r="B18" s="12">
        <f t="shared" si="8"/>
        <v>27</v>
      </c>
      <c r="C18" s="11"/>
      <c r="D18" s="12">
        <f t="shared" si="6"/>
        <v>120</v>
      </c>
      <c r="E18" s="11"/>
      <c r="F18" s="12">
        <f t="shared" si="7"/>
        <v>59</v>
      </c>
      <c r="G18" s="11"/>
      <c r="I18" s="12">
        <f t="shared" si="0"/>
        <v>10.8</v>
      </c>
      <c r="J18" s="10"/>
      <c r="K18" s="13">
        <f t="shared" si="1"/>
        <v>2.7</v>
      </c>
      <c r="L18" s="13"/>
      <c r="M18" s="13">
        <f t="shared" si="2"/>
        <v>35.1</v>
      </c>
      <c r="N18" s="13"/>
      <c r="O18" s="10">
        <f t="shared" si="9"/>
        <v>45.9</v>
      </c>
      <c r="P18" s="11"/>
      <c r="Q18" s="12" cm="1">
        <f t="array" ref="Q18">SkillFormula(Q$4,B18)</f>
        <v>38.880000000000003</v>
      </c>
      <c r="R18" s="11"/>
      <c r="T18" s="2">
        <v>12</v>
      </c>
      <c r="U18" s="14">
        <f t="shared" si="4"/>
        <v>2002</v>
      </c>
      <c r="V18" s="14"/>
      <c r="W18" s="14"/>
      <c r="X18" s="14"/>
      <c r="Y18" s="6">
        <f>SUM(U$7:U18)</f>
        <v>9182</v>
      </c>
      <c r="Z18" s="3"/>
    </row>
    <row r="19" spans="1:27" x14ac:dyDescent="0.3">
      <c r="A19" s="8">
        <v>13</v>
      </c>
      <c r="B19" s="12">
        <f t="shared" si="8"/>
        <v>29</v>
      </c>
      <c r="C19" s="11"/>
      <c r="D19" s="12">
        <f t="shared" si="6"/>
        <v>130</v>
      </c>
      <c r="E19" s="11"/>
      <c r="F19" s="12">
        <f t="shared" si="7"/>
        <v>64</v>
      </c>
      <c r="G19" s="11"/>
      <c r="I19" s="12">
        <f t="shared" si="0"/>
        <v>11.600000000000001</v>
      </c>
      <c r="J19" s="10"/>
      <c r="K19" s="13">
        <f t="shared" si="1"/>
        <v>2.9000000000000004</v>
      </c>
      <c r="L19" s="13"/>
      <c r="M19" s="13">
        <f t="shared" si="2"/>
        <v>37.700000000000003</v>
      </c>
      <c r="N19" s="13"/>
      <c r="O19" s="10">
        <f t="shared" si="9"/>
        <v>49.3</v>
      </c>
      <c r="P19" s="11"/>
      <c r="Q19" s="12" cm="1">
        <f t="array" ref="Q19">SkillFormula(Q$4,B19)</f>
        <v>41.760000000000005</v>
      </c>
      <c r="R19" s="11"/>
      <c r="T19" s="2">
        <v>13</v>
      </c>
      <c r="U19" s="14">
        <f t="shared" si="4"/>
        <v>2340</v>
      </c>
      <c r="V19" s="14"/>
      <c r="W19" s="14"/>
      <c r="X19" s="14"/>
      <c r="Y19" s="6">
        <f>SUM(U$7:U19)</f>
        <v>11522</v>
      </c>
      <c r="Z19" s="3"/>
    </row>
    <row r="20" spans="1:27" x14ac:dyDescent="0.3">
      <c r="A20" s="8">
        <v>14</v>
      </c>
      <c r="B20" s="12">
        <f t="shared" si="8"/>
        <v>31</v>
      </c>
      <c r="C20" s="11"/>
      <c r="D20" s="12">
        <f t="shared" si="6"/>
        <v>140</v>
      </c>
      <c r="E20" s="11"/>
      <c r="F20" s="12">
        <f t="shared" si="7"/>
        <v>69</v>
      </c>
      <c r="G20" s="11"/>
      <c r="I20" s="12">
        <f t="shared" si="0"/>
        <v>12.4</v>
      </c>
      <c r="J20" s="10"/>
      <c r="K20" s="13">
        <f t="shared" si="1"/>
        <v>3.1</v>
      </c>
      <c r="L20" s="13"/>
      <c r="M20" s="13">
        <f t="shared" si="2"/>
        <v>40.300000000000004</v>
      </c>
      <c r="N20" s="13"/>
      <c r="O20" s="10">
        <f t="shared" si="9"/>
        <v>52.699999999999996</v>
      </c>
      <c r="P20" s="11"/>
      <c r="Q20" s="12" cm="1">
        <f t="array" ref="Q20">SkillFormula(Q$4,B20)</f>
        <v>44.64</v>
      </c>
      <c r="R20" s="11"/>
      <c r="T20" s="2">
        <v>14</v>
      </c>
      <c r="U20" s="14">
        <f t="shared" si="4"/>
        <v>2704</v>
      </c>
      <c r="V20" s="14"/>
      <c r="W20" s="14"/>
      <c r="X20" s="14"/>
      <c r="Y20" s="6">
        <f>SUM(U$7:U20)</f>
        <v>14226</v>
      </c>
      <c r="Z20" s="3"/>
    </row>
    <row r="21" spans="1:27" x14ac:dyDescent="0.3">
      <c r="A21" s="8">
        <v>15</v>
      </c>
      <c r="B21" s="12">
        <f t="shared" si="8"/>
        <v>33</v>
      </c>
      <c r="C21" s="11"/>
      <c r="D21" s="12">
        <f t="shared" si="6"/>
        <v>150</v>
      </c>
      <c r="E21" s="11"/>
      <c r="F21" s="12">
        <f t="shared" si="7"/>
        <v>74</v>
      </c>
      <c r="G21" s="11"/>
      <c r="I21" s="12">
        <f t="shared" si="0"/>
        <v>13.200000000000001</v>
      </c>
      <c r="J21" s="10"/>
      <c r="K21" s="13">
        <f t="shared" si="1"/>
        <v>3.3000000000000003</v>
      </c>
      <c r="L21" s="13"/>
      <c r="M21" s="13">
        <f t="shared" si="2"/>
        <v>42.9</v>
      </c>
      <c r="N21" s="13"/>
      <c r="O21" s="10">
        <f t="shared" si="9"/>
        <v>56.1</v>
      </c>
      <c r="P21" s="11"/>
      <c r="Q21" s="12" cm="1">
        <f t="array" ref="Q21">SkillFormula(Q$4,B21)</f>
        <v>47.52</v>
      </c>
      <c r="R21" s="11"/>
      <c r="T21" s="2">
        <v>15</v>
      </c>
      <c r="U21" s="14">
        <f t="shared" si="4"/>
        <v>3094</v>
      </c>
      <c r="V21" s="14"/>
      <c r="W21" s="14"/>
      <c r="X21" s="14"/>
      <c r="Y21" s="6">
        <f>SUM(U$7:U21)</f>
        <v>17320</v>
      </c>
      <c r="Z21" s="3"/>
    </row>
    <row r="22" spans="1:27" x14ac:dyDescent="0.3">
      <c r="A22" s="8">
        <v>16</v>
      </c>
      <c r="B22" s="12">
        <f t="shared" si="8"/>
        <v>35</v>
      </c>
      <c r="C22" s="11"/>
      <c r="D22" s="12">
        <f t="shared" si="6"/>
        <v>160</v>
      </c>
      <c r="E22" s="11"/>
      <c r="F22" s="12">
        <f t="shared" si="7"/>
        <v>79</v>
      </c>
      <c r="G22" s="11"/>
      <c r="I22" s="12">
        <f t="shared" si="0"/>
        <v>14</v>
      </c>
      <c r="J22" s="10"/>
      <c r="K22" s="13">
        <f t="shared" si="1"/>
        <v>3.5</v>
      </c>
      <c r="L22" s="13"/>
      <c r="M22" s="13">
        <f t="shared" si="2"/>
        <v>45.5</v>
      </c>
      <c r="N22" s="13"/>
      <c r="O22" s="10">
        <f t="shared" si="9"/>
        <v>59.5</v>
      </c>
      <c r="P22" s="11"/>
      <c r="Q22" s="12" cm="1">
        <f t="array" ref="Q22">SkillFormula(Q$4,B22)</f>
        <v>50.400000000000006</v>
      </c>
      <c r="R22" s="11"/>
      <c r="T22" s="2">
        <v>16</v>
      </c>
      <c r="U22" s="14">
        <f t="shared" si="4"/>
        <v>3510</v>
      </c>
      <c r="V22" s="14"/>
      <c r="W22" s="14"/>
      <c r="X22" s="14"/>
      <c r="Y22" s="6">
        <f>SUM(U$7:U22)</f>
        <v>20830</v>
      </c>
      <c r="Z22" s="3"/>
    </row>
    <row r="23" spans="1:27" x14ac:dyDescent="0.3">
      <c r="A23" s="8">
        <v>17</v>
      </c>
      <c r="B23" s="12">
        <f t="shared" si="8"/>
        <v>37</v>
      </c>
      <c r="C23" s="11"/>
      <c r="D23" s="12">
        <f t="shared" si="6"/>
        <v>170</v>
      </c>
      <c r="E23" s="11"/>
      <c r="F23" s="12">
        <f t="shared" si="7"/>
        <v>84</v>
      </c>
      <c r="G23" s="11"/>
      <c r="I23" s="12">
        <f t="shared" si="0"/>
        <v>14.8</v>
      </c>
      <c r="J23" s="10"/>
      <c r="K23" s="13">
        <f t="shared" si="1"/>
        <v>3.7</v>
      </c>
      <c r="L23" s="13"/>
      <c r="M23" s="13">
        <f t="shared" si="2"/>
        <v>48.1</v>
      </c>
      <c r="N23" s="13"/>
      <c r="O23" s="10">
        <f t="shared" si="9"/>
        <v>62.9</v>
      </c>
      <c r="P23" s="11"/>
      <c r="Q23" s="12" cm="1">
        <f t="array" ref="Q23">SkillFormula(Q$4,B23)</f>
        <v>53.28</v>
      </c>
      <c r="R23" s="11"/>
      <c r="T23" s="2">
        <v>17</v>
      </c>
      <c r="U23" s="14">
        <f t="shared" si="4"/>
        <v>3952</v>
      </c>
      <c r="V23" s="14"/>
      <c r="W23" s="14"/>
      <c r="X23" s="14"/>
      <c r="Y23" s="6">
        <f>SUM(U$7:U23)</f>
        <v>24782</v>
      </c>
      <c r="Z23" s="3"/>
    </row>
    <row r="24" spans="1:27" x14ac:dyDescent="0.3">
      <c r="A24" s="8">
        <v>18</v>
      </c>
      <c r="B24" s="12">
        <f t="shared" si="8"/>
        <v>39</v>
      </c>
      <c r="C24" s="11"/>
      <c r="D24" s="12">
        <f t="shared" si="6"/>
        <v>180</v>
      </c>
      <c r="E24" s="11"/>
      <c r="F24" s="12">
        <f t="shared" si="7"/>
        <v>89</v>
      </c>
      <c r="G24" s="11"/>
      <c r="I24" s="12">
        <f t="shared" si="0"/>
        <v>15.600000000000001</v>
      </c>
      <c r="J24" s="10"/>
      <c r="K24" s="13">
        <f t="shared" si="1"/>
        <v>3.9000000000000004</v>
      </c>
      <c r="L24" s="13"/>
      <c r="M24" s="13">
        <f t="shared" si="2"/>
        <v>50.7</v>
      </c>
      <c r="N24" s="13"/>
      <c r="O24" s="10">
        <f t="shared" si="9"/>
        <v>66.3</v>
      </c>
      <c r="P24" s="11"/>
      <c r="Q24" s="12" cm="1">
        <f t="array" ref="Q24">SkillFormula(Q$4,B24)</f>
        <v>56.160000000000004</v>
      </c>
      <c r="R24" s="11"/>
      <c r="T24" s="2">
        <v>18</v>
      </c>
      <c r="U24" s="14">
        <f t="shared" si="4"/>
        <v>4420</v>
      </c>
      <c r="V24" s="14"/>
      <c r="W24" s="14"/>
      <c r="X24" s="14"/>
      <c r="Y24" s="6">
        <f>SUM(U$7:U24)</f>
        <v>29202</v>
      </c>
      <c r="Z24" s="3"/>
    </row>
    <row r="25" spans="1:27" x14ac:dyDescent="0.3">
      <c r="A25" s="8">
        <v>19</v>
      </c>
      <c r="B25" s="12">
        <f t="shared" si="8"/>
        <v>41</v>
      </c>
      <c r="C25" s="11"/>
      <c r="D25" s="12">
        <f t="shared" si="6"/>
        <v>190</v>
      </c>
      <c r="E25" s="11"/>
      <c r="F25" s="12">
        <f t="shared" si="7"/>
        <v>94</v>
      </c>
      <c r="G25" s="11"/>
      <c r="I25" s="12">
        <f t="shared" si="0"/>
        <v>16.400000000000002</v>
      </c>
      <c r="J25" s="10"/>
      <c r="K25" s="13">
        <f t="shared" si="1"/>
        <v>4.1000000000000005</v>
      </c>
      <c r="L25" s="13"/>
      <c r="M25" s="13">
        <f t="shared" si="2"/>
        <v>53.300000000000004</v>
      </c>
      <c r="N25" s="13"/>
      <c r="O25" s="10">
        <f t="shared" si="9"/>
        <v>69.7</v>
      </c>
      <c r="P25" s="11"/>
      <c r="Q25" s="12" cm="1">
        <f t="array" ref="Q25">SkillFormula(Q$4,B25)</f>
        <v>59.04</v>
      </c>
      <c r="R25" s="11"/>
      <c r="T25" s="2">
        <v>19</v>
      </c>
      <c r="U25" s="14">
        <f t="shared" si="4"/>
        <v>4914</v>
      </c>
      <c r="V25" s="14"/>
      <c r="W25" s="14"/>
      <c r="X25" s="14"/>
      <c r="Y25" s="6">
        <f>SUM(U$7:U25)</f>
        <v>34116</v>
      </c>
      <c r="Z25" s="3"/>
    </row>
    <row r="26" spans="1:27" x14ac:dyDescent="0.3">
      <c r="A26" s="8">
        <v>20</v>
      </c>
      <c r="B26" s="12">
        <f t="shared" si="8"/>
        <v>43</v>
      </c>
      <c r="C26" s="11"/>
      <c r="D26" s="12">
        <f t="shared" si="6"/>
        <v>200</v>
      </c>
      <c r="E26" s="11"/>
      <c r="F26" s="12">
        <f t="shared" si="7"/>
        <v>99</v>
      </c>
      <c r="G26" s="11"/>
      <c r="I26" s="12">
        <f t="shared" si="0"/>
        <v>17.2</v>
      </c>
      <c r="J26" s="10"/>
      <c r="K26" s="13">
        <f t="shared" si="1"/>
        <v>4.3</v>
      </c>
      <c r="L26" s="13"/>
      <c r="M26" s="13">
        <f t="shared" si="2"/>
        <v>55.9</v>
      </c>
      <c r="N26" s="13"/>
      <c r="O26" s="10">
        <f t="shared" si="9"/>
        <v>73.099999999999994</v>
      </c>
      <c r="P26" s="11"/>
      <c r="Q26" s="12" cm="1">
        <f t="array" ref="Q26">SkillFormula(Q$4,B26)</f>
        <v>61.920000000000009</v>
      </c>
      <c r="R26" s="11"/>
      <c r="T26" s="2">
        <v>20</v>
      </c>
      <c r="U26" s="14">
        <f t="shared" si="4"/>
        <v>5434</v>
      </c>
      <c r="V26" s="14"/>
      <c r="W26" s="14"/>
      <c r="X26" s="14"/>
      <c r="Y26" s="6">
        <f>SUM(U$7:U26)</f>
        <v>39550</v>
      </c>
      <c r="Z26" s="3"/>
    </row>
    <row r="27" spans="1:27" x14ac:dyDescent="0.3">
      <c r="A27" s="8">
        <v>21</v>
      </c>
      <c r="B27" s="12">
        <f t="shared" si="8"/>
        <v>45</v>
      </c>
      <c r="C27" s="11"/>
      <c r="D27" s="12">
        <f t="shared" si="6"/>
        <v>210</v>
      </c>
      <c r="E27" s="11"/>
      <c r="F27" s="12">
        <f t="shared" si="7"/>
        <v>104</v>
      </c>
      <c r="G27" s="11"/>
      <c r="I27" s="12">
        <f t="shared" si="0"/>
        <v>18</v>
      </c>
      <c r="J27" s="10"/>
      <c r="K27" s="13">
        <f t="shared" si="1"/>
        <v>4.5</v>
      </c>
      <c r="L27" s="13"/>
      <c r="M27" s="13">
        <f t="shared" si="2"/>
        <v>58.5</v>
      </c>
      <c r="N27" s="13"/>
      <c r="O27" s="10">
        <f t="shared" si="9"/>
        <v>76.5</v>
      </c>
      <c r="P27" s="11"/>
      <c r="Q27" s="12" cm="1">
        <f t="array" ref="Q27">SkillFormula(Q$4,B27)</f>
        <v>64.8</v>
      </c>
      <c r="R27" s="11"/>
      <c r="T27" s="2">
        <v>21</v>
      </c>
      <c r="U27" s="14">
        <f t="shared" si="4"/>
        <v>5980</v>
      </c>
      <c r="V27" s="14"/>
      <c r="W27" s="14"/>
      <c r="X27" s="14"/>
      <c r="Y27" s="6">
        <f>SUM(U$7:U27)</f>
        <v>45530</v>
      </c>
      <c r="Z27" s="3"/>
    </row>
    <row r="28" spans="1:27" x14ac:dyDescent="0.3">
      <c r="A28" s="8">
        <v>22</v>
      </c>
      <c r="B28" s="12">
        <f t="shared" si="8"/>
        <v>47</v>
      </c>
      <c r="C28" s="11"/>
      <c r="D28" s="12">
        <f t="shared" si="6"/>
        <v>220</v>
      </c>
      <c r="E28" s="11"/>
      <c r="F28" s="12">
        <f t="shared" si="7"/>
        <v>109</v>
      </c>
      <c r="G28" s="11"/>
      <c r="I28" s="12">
        <f t="shared" si="0"/>
        <v>18.8</v>
      </c>
      <c r="J28" s="10"/>
      <c r="K28" s="13">
        <f t="shared" si="1"/>
        <v>4.7</v>
      </c>
      <c r="L28" s="13"/>
      <c r="M28" s="13">
        <f t="shared" si="2"/>
        <v>61.1</v>
      </c>
      <c r="N28" s="13"/>
      <c r="O28" s="10">
        <f t="shared" si="9"/>
        <v>79.899999999999991</v>
      </c>
      <c r="P28" s="11"/>
      <c r="Q28" s="12" cm="1">
        <f t="array" ref="Q28">SkillFormula(Q$4,B28)</f>
        <v>67.679999999999993</v>
      </c>
      <c r="R28" s="11"/>
      <c r="T28" s="2">
        <v>22</v>
      </c>
      <c r="U28" s="14">
        <f t="shared" si="4"/>
        <v>6552</v>
      </c>
      <c r="V28" s="14"/>
      <c r="W28" s="14"/>
      <c r="X28" s="14"/>
      <c r="Y28" s="6">
        <f>SUM(U$7:U28)</f>
        <v>52082</v>
      </c>
      <c r="Z28" s="3"/>
    </row>
    <row r="29" spans="1:27" x14ac:dyDescent="0.3">
      <c r="A29" s="8">
        <v>23</v>
      </c>
      <c r="B29" s="12">
        <f t="shared" si="8"/>
        <v>49</v>
      </c>
      <c r="C29" s="11"/>
      <c r="D29" s="12">
        <f t="shared" si="6"/>
        <v>230</v>
      </c>
      <c r="E29" s="11"/>
      <c r="F29" s="12">
        <f t="shared" si="7"/>
        <v>114</v>
      </c>
      <c r="G29" s="11"/>
      <c r="I29" s="12">
        <f t="shared" si="0"/>
        <v>19.600000000000001</v>
      </c>
      <c r="J29" s="10"/>
      <c r="K29" s="13">
        <f t="shared" si="1"/>
        <v>4.9000000000000004</v>
      </c>
      <c r="L29" s="13"/>
      <c r="M29" s="13">
        <f t="shared" si="2"/>
        <v>63.7</v>
      </c>
      <c r="N29" s="13"/>
      <c r="O29" s="10">
        <f t="shared" si="9"/>
        <v>83.3</v>
      </c>
      <c r="P29" s="11"/>
      <c r="Q29" s="12" cm="1">
        <f t="array" ref="Q29">SkillFormula(Q$4,B29)</f>
        <v>70.56</v>
      </c>
      <c r="R29" s="11"/>
      <c r="T29" s="2">
        <v>23</v>
      </c>
      <c r="U29" s="14">
        <f t="shared" si="4"/>
        <v>7150</v>
      </c>
      <c r="V29" s="14"/>
      <c r="W29" s="14"/>
      <c r="X29" s="14"/>
      <c r="Y29" s="6">
        <f>SUM(U$7:U29)</f>
        <v>59232</v>
      </c>
      <c r="Z29" s="3"/>
    </row>
    <row r="30" spans="1:27" x14ac:dyDescent="0.3">
      <c r="A30" s="8">
        <v>24</v>
      </c>
      <c r="B30" s="12">
        <f t="shared" si="8"/>
        <v>51</v>
      </c>
      <c r="C30" s="11"/>
      <c r="D30" s="12">
        <f t="shared" si="6"/>
        <v>240</v>
      </c>
      <c r="E30" s="11"/>
      <c r="F30" s="12">
        <f t="shared" si="7"/>
        <v>119</v>
      </c>
      <c r="G30" s="11"/>
      <c r="I30" s="12">
        <f t="shared" si="0"/>
        <v>20.400000000000002</v>
      </c>
      <c r="J30" s="10"/>
      <c r="K30" s="13">
        <f t="shared" si="1"/>
        <v>5.1000000000000005</v>
      </c>
      <c r="L30" s="13"/>
      <c r="M30" s="13">
        <f t="shared" si="2"/>
        <v>66.3</v>
      </c>
      <c r="N30" s="13"/>
      <c r="O30" s="10">
        <f t="shared" si="9"/>
        <v>86.7</v>
      </c>
      <c r="P30" s="11"/>
      <c r="Q30" s="12" cm="1">
        <f t="array" ref="Q30">SkillFormula(Q$4,B30)</f>
        <v>73.44</v>
      </c>
      <c r="R30" s="11"/>
      <c r="T30" s="2">
        <v>24</v>
      </c>
      <c r="U30" s="14">
        <f t="shared" si="4"/>
        <v>7774</v>
      </c>
      <c r="V30" s="14"/>
      <c r="W30" s="14"/>
      <c r="X30" s="14"/>
      <c r="Y30" s="6">
        <f>SUM(U$7:U30)</f>
        <v>67006</v>
      </c>
      <c r="Z30" s="3"/>
    </row>
    <row r="31" spans="1:27" x14ac:dyDescent="0.3">
      <c r="A31" s="8">
        <v>25</v>
      </c>
      <c r="B31" s="12">
        <f t="shared" si="8"/>
        <v>53</v>
      </c>
      <c r="C31" s="11"/>
      <c r="D31" s="12">
        <f t="shared" si="6"/>
        <v>250</v>
      </c>
      <c r="E31" s="11"/>
      <c r="F31" s="12">
        <f t="shared" si="7"/>
        <v>124</v>
      </c>
      <c r="G31" s="11"/>
      <c r="I31" s="12">
        <f t="shared" si="0"/>
        <v>21.200000000000003</v>
      </c>
      <c r="J31" s="10"/>
      <c r="K31" s="13">
        <f t="shared" si="1"/>
        <v>5.3000000000000007</v>
      </c>
      <c r="L31" s="13"/>
      <c r="M31" s="13">
        <f t="shared" si="2"/>
        <v>68.900000000000006</v>
      </c>
      <c r="N31" s="13"/>
      <c r="O31" s="10">
        <f t="shared" si="9"/>
        <v>90.1</v>
      </c>
      <c r="P31" s="11"/>
      <c r="Q31" s="12" cm="1">
        <f t="array" ref="Q31">SkillFormula(Q$4,B31)</f>
        <v>76.320000000000007</v>
      </c>
      <c r="R31" s="11"/>
      <c r="T31" s="2">
        <v>25</v>
      </c>
      <c r="U31" s="14">
        <f t="shared" si="4"/>
        <v>8424</v>
      </c>
      <c r="V31" s="14"/>
      <c r="W31" s="14"/>
      <c r="X31" s="14"/>
      <c r="Y31" s="6">
        <f>SUM(U$7:U31)</f>
        <v>75430</v>
      </c>
      <c r="Z31" s="3"/>
    </row>
    <row r="32" spans="1:27" x14ac:dyDescent="0.3">
      <c r="A32" s="8">
        <v>26</v>
      </c>
      <c r="B32" s="12">
        <f t="shared" si="8"/>
        <v>55</v>
      </c>
      <c r="C32" s="11"/>
      <c r="D32" s="12">
        <f t="shared" si="6"/>
        <v>260</v>
      </c>
      <c r="E32" s="11"/>
      <c r="F32" s="12">
        <f t="shared" si="7"/>
        <v>129</v>
      </c>
      <c r="G32" s="11"/>
      <c r="I32" s="12">
        <f t="shared" si="0"/>
        <v>22</v>
      </c>
      <c r="J32" s="10"/>
      <c r="K32" s="13">
        <f t="shared" si="1"/>
        <v>5.5</v>
      </c>
      <c r="L32" s="13"/>
      <c r="M32" s="13">
        <f t="shared" si="2"/>
        <v>71.5</v>
      </c>
      <c r="N32" s="13"/>
      <c r="O32" s="10">
        <f t="shared" ref="O32:O95" si="10" xml:space="preserve"> B32 * 1.7</f>
        <v>93.5</v>
      </c>
      <c r="P32" s="11"/>
      <c r="Q32" s="12" cm="1">
        <f t="array" ref="Q32">SkillFormula(Q$4,B32)</f>
        <v>79.2</v>
      </c>
      <c r="R32" s="11"/>
      <c r="T32" s="2">
        <v>26</v>
      </c>
      <c r="U32" s="14">
        <f t="shared" si="4"/>
        <v>9100</v>
      </c>
      <c r="V32" s="14"/>
      <c r="W32" s="14"/>
      <c r="X32" s="14"/>
      <c r="Y32" s="6">
        <f>SUM(U$7:U32)</f>
        <v>84530</v>
      </c>
      <c r="Z32" s="3"/>
      <c r="AA32" s="5"/>
    </row>
    <row r="33" spans="1:26" x14ac:dyDescent="0.3">
      <c r="A33" s="8">
        <v>27</v>
      </c>
      <c r="B33" s="12">
        <f t="shared" si="8"/>
        <v>57</v>
      </c>
      <c r="C33" s="11"/>
      <c r="D33" s="12">
        <f t="shared" si="6"/>
        <v>270</v>
      </c>
      <c r="E33" s="11"/>
      <c r="F33" s="12">
        <f t="shared" si="7"/>
        <v>134</v>
      </c>
      <c r="G33" s="11"/>
      <c r="I33" s="12">
        <f t="shared" si="0"/>
        <v>22.8</v>
      </c>
      <c r="J33" s="10"/>
      <c r="K33" s="13">
        <f t="shared" si="1"/>
        <v>5.7</v>
      </c>
      <c r="L33" s="13"/>
      <c r="M33" s="13">
        <f t="shared" si="2"/>
        <v>74.100000000000009</v>
      </c>
      <c r="N33" s="13"/>
      <c r="O33" s="10">
        <f t="shared" si="10"/>
        <v>96.899999999999991</v>
      </c>
      <c r="P33" s="11"/>
      <c r="Q33" s="12" cm="1">
        <f t="array" ref="Q33">SkillFormula(Q$4,B33)</f>
        <v>82.08</v>
      </c>
      <c r="R33" s="11"/>
      <c r="T33" s="2">
        <v>27</v>
      </c>
      <c r="U33" s="14">
        <f t="shared" si="4"/>
        <v>9802</v>
      </c>
      <c r="V33" s="14"/>
      <c r="W33" s="14"/>
      <c r="X33" s="14"/>
      <c r="Y33" s="6">
        <f>SUM(U$7:U33)</f>
        <v>94332</v>
      </c>
      <c r="Z33" s="3"/>
    </row>
    <row r="34" spans="1:26" x14ac:dyDescent="0.3">
      <c r="A34" s="8">
        <v>28</v>
      </c>
      <c r="B34" s="12">
        <f t="shared" si="8"/>
        <v>59</v>
      </c>
      <c r="C34" s="11"/>
      <c r="D34" s="12">
        <f t="shared" si="6"/>
        <v>280</v>
      </c>
      <c r="E34" s="11"/>
      <c r="F34" s="12">
        <f t="shared" si="7"/>
        <v>139</v>
      </c>
      <c r="G34" s="11"/>
      <c r="I34" s="12">
        <f t="shared" si="0"/>
        <v>23.6</v>
      </c>
      <c r="J34" s="10"/>
      <c r="K34" s="13">
        <f t="shared" si="1"/>
        <v>5.9</v>
      </c>
      <c r="L34" s="13"/>
      <c r="M34" s="13">
        <f t="shared" si="2"/>
        <v>76.7</v>
      </c>
      <c r="N34" s="13"/>
      <c r="O34" s="10">
        <f t="shared" si="10"/>
        <v>100.3</v>
      </c>
      <c r="P34" s="11"/>
      <c r="Q34" s="12" cm="1">
        <f t="array" ref="Q34">SkillFormula(Q$4,B34)</f>
        <v>84.960000000000008</v>
      </c>
      <c r="R34" s="11"/>
      <c r="T34" s="2">
        <v>28</v>
      </c>
      <c r="U34" s="14">
        <f t="shared" si="4"/>
        <v>10530</v>
      </c>
      <c r="V34" s="14"/>
      <c r="W34" s="14"/>
      <c r="X34" s="14"/>
      <c r="Y34" s="6">
        <f>SUM(U$7:U34)</f>
        <v>104862</v>
      </c>
      <c r="Z34" s="3"/>
    </row>
    <row r="35" spans="1:26" x14ac:dyDescent="0.3">
      <c r="A35" s="8">
        <v>29</v>
      </c>
      <c r="B35" s="12">
        <f t="shared" si="8"/>
        <v>61</v>
      </c>
      <c r="C35" s="11"/>
      <c r="D35" s="12">
        <f t="shared" si="6"/>
        <v>290</v>
      </c>
      <c r="E35" s="11"/>
      <c r="F35" s="12">
        <f t="shared" si="7"/>
        <v>144</v>
      </c>
      <c r="G35" s="11"/>
      <c r="I35" s="12">
        <f t="shared" si="0"/>
        <v>24.400000000000002</v>
      </c>
      <c r="J35" s="10"/>
      <c r="K35" s="13">
        <f t="shared" si="1"/>
        <v>6.1000000000000005</v>
      </c>
      <c r="L35" s="13"/>
      <c r="M35" s="13">
        <f t="shared" si="2"/>
        <v>79.3</v>
      </c>
      <c r="N35" s="13"/>
      <c r="O35" s="10">
        <f t="shared" si="10"/>
        <v>103.7</v>
      </c>
      <c r="P35" s="11"/>
      <c r="Q35" s="12" cm="1">
        <f t="array" ref="Q35">SkillFormula(Q$4,B35)</f>
        <v>87.84</v>
      </c>
      <c r="R35" s="11"/>
      <c r="T35" s="2">
        <v>29</v>
      </c>
      <c r="U35" s="14">
        <f t="shared" si="4"/>
        <v>11284</v>
      </c>
      <c r="V35" s="14"/>
      <c r="W35" s="14"/>
      <c r="X35" s="14"/>
      <c r="Y35" s="6">
        <f>SUM(U$7:U35)</f>
        <v>116146</v>
      </c>
      <c r="Z35" s="3"/>
    </row>
    <row r="36" spans="1:26" x14ac:dyDescent="0.3">
      <c r="A36" s="8">
        <v>30</v>
      </c>
      <c r="B36" s="12">
        <f t="shared" si="8"/>
        <v>63</v>
      </c>
      <c r="C36" s="11"/>
      <c r="D36" s="12">
        <f t="shared" si="6"/>
        <v>300</v>
      </c>
      <c r="E36" s="11"/>
      <c r="F36" s="12">
        <f t="shared" si="7"/>
        <v>149</v>
      </c>
      <c r="G36" s="11"/>
      <c r="I36" s="12">
        <f t="shared" si="0"/>
        <v>25.200000000000003</v>
      </c>
      <c r="J36" s="10"/>
      <c r="K36" s="13">
        <f t="shared" si="1"/>
        <v>6.3000000000000007</v>
      </c>
      <c r="L36" s="13"/>
      <c r="M36" s="13">
        <f t="shared" si="2"/>
        <v>81.900000000000006</v>
      </c>
      <c r="N36" s="13"/>
      <c r="O36" s="10">
        <f t="shared" si="10"/>
        <v>107.1</v>
      </c>
      <c r="P36" s="11"/>
      <c r="Q36" s="12" cm="1">
        <f t="array" ref="Q36">SkillFormula(Q$4,B36)</f>
        <v>90.720000000000013</v>
      </c>
      <c r="R36" s="11"/>
      <c r="T36" s="2">
        <v>30</v>
      </c>
      <c r="U36" s="14">
        <f t="shared" si="4"/>
        <v>12064</v>
      </c>
      <c r="V36" s="14"/>
      <c r="W36" s="14"/>
      <c r="X36" s="14"/>
      <c r="Y36" s="6">
        <f>SUM(U$7:U36)</f>
        <v>128210</v>
      </c>
      <c r="Z36" s="3"/>
    </row>
    <row r="37" spans="1:26" x14ac:dyDescent="0.3">
      <c r="A37" s="8">
        <v>31</v>
      </c>
      <c r="B37" s="12">
        <f t="shared" si="8"/>
        <v>65</v>
      </c>
      <c r="C37" s="11"/>
      <c r="D37" s="12">
        <f t="shared" si="6"/>
        <v>310</v>
      </c>
      <c r="E37" s="11"/>
      <c r="F37" s="12">
        <f t="shared" si="7"/>
        <v>154</v>
      </c>
      <c r="G37" s="11"/>
      <c r="I37" s="12">
        <f t="shared" si="0"/>
        <v>26</v>
      </c>
      <c r="J37" s="10"/>
      <c r="K37" s="13">
        <f t="shared" si="1"/>
        <v>6.5</v>
      </c>
      <c r="L37" s="13"/>
      <c r="M37" s="13">
        <f t="shared" si="2"/>
        <v>84.5</v>
      </c>
      <c r="N37" s="13"/>
      <c r="O37" s="10">
        <f t="shared" si="10"/>
        <v>110.5</v>
      </c>
      <c r="P37" s="11"/>
      <c r="Q37" s="12" cm="1">
        <f t="array" ref="Q37">SkillFormula(Q$4,B37)</f>
        <v>93.600000000000009</v>
      </c>
      <c r="R37" s="11"/>
      <c r="T37" s="2">
        <v>31</v>
      </c>
      <c r="U37" s="14">
        <f t="shared" si="4"/>
        <v>12870</v>
      </c>
      <c r="V37" s="14"/>
      <c r="W37" s="14"/>
      <c r="X37" s="14"/>
      <c r="Y37" s="6">
        <f>SUM(U$7:U37)</f>
        <v>141080</v>
      </c>
      <c r="Z37" s="3"/>
    </row>
    <row r="38" spans="1:26" x14ac:dyDescent="0.3">
      <c r="A38" s="8">
        <v>32</v>
      </c>
      <c r="B38" s="12">
        <f t="shared" si="8"/>
        <v>67</v>
      </c>
      <c r="C38" s="11"/>
      <c r="D38" s="12">
        <f t="shared" si="6"/>
        <v>320</v>
      </c>
      <c r="E38" s="11"/>
      <c r="F38" s="12">
        <f t="shared" si="7"/>
        <v>159</v>
      </c>
      <c r="G38" s="11"/>
      <c r="I38" s="12">
        <f t="shared" ref="I38:I99" si="11">B38 * 0.4</f>
        <v>26.8</v>
      </c>
      <c r="J38" s="10"/>
      <c r="K38" s="13">
        <f t="shared" si="1"/>
        <v>6.7</v>
      </c>
      <c r="L38" s="13"/>
      <c r="M38" s="13">
        <f t="shared" si="2"/>
        <v>87.100000000000009</v>
      </c>
      <c r="N38" s="13"/>
      <c r="O38" s="10">
        <f t="shared" si="10"/>
        <v>113.89999999999999</v>
      </c>
      <c r="P38" s="11"/>
      <c r="Q38" s="12" cm="1">
        <f t="array" ref="Q38">SkillFormula(Q$4,B38)</f>
        <v>96.48</v>
      </c>
      <c r="R38" s="11"/>
      <c r="Z38" s="3"/>
    </row>
    <row r="39" spans="1:26" x14ac:dyDescent="0.3">
      <c r="A39" s="8">
        <v>33</v>
      </c>
      <c r="B39" s="12">
        <f t="shared" si="8"/>
        <v>69</v>
      </c>
      <c r="C39" s="11"/>
      <c r="D39" s="12">
        <f t="shared" si="6"/>
        <v>330</v>
      </c>
      <c r="E39" s="11"/>
      <c r="F39" s="12">
        <f t="shared" si="7"/>
        <v>164</v>
      </c>
      <c r="G39" s="11"/>
      <c r="I39" s="12">
        <f t="shared" si="11"/>
        <v>27.6</v>
      </c>
      <c r="J39" s="10"/>
      <c r="K39" s="13">
        <f t="shared" si="1"/>
        <v>6.9</v>
      </c>
      <c r="L39" s="13"/>
      <c r="M39" s="13">
        <f t="shared" si="2"/>
        <v>89.7</v>
      </c>
      <c r="N39" s="13"/>
      <c r="O39" s="10">
        <f t="shared" si="10"/>
        <v>117.3</v>
      </c>
      <c r="P39" s="11"/>
      <c r="Q39" s="12" cm="1">
        <f t="array" ref="Q39">SkillFormula(Q$4,B39)</f>
        <v>99.360000000000014</v>
      </c>
      <c r="R39" s="11"/>
    </row>
    <row r="40" spans="1:26" x14ac:dyDescent="0.3">
      <c r="A40" s="8">
        <v>34</v>
      </c>
      <c r="B40" s="12">
        <f t="shared" si="8"/>
        <v>71</v>
      </c>
      <c r="C40" s="11"/>
      <c r="D40" s="12">
        <f t="shared" si="6"/>
        <v>340</v>
      </c>
      <c r="E40" s="11"/>
      <c r="F40" s="12">
        <f t="shared" si="7"/>
        <v>169</v>
      </c>
      <c r="G40" s="11"/>
      <c r="I40" s="12">
        <f t="shared" si="11"/>
        <v>28.400000000000002</v>
      </c>
      <c r="J40" s="10"/>
      <c r="K40" s="13">
        <f t="shared" si="1"/>
        <v>7.1000000000000005</v>
      </c>
      <c r="L40" s="13"/>
      <c r="M40" s="13">
        <f t="shared" si="2"/>
        <v>92.3</v>
      </c>
      <c r="N40" s="13"/>
      <c r="O40" s="10">
        <f t="shared" si="10"/>
        <v>120.7</v>
      </c>
      <c r="P40" s="11"/>
      <c r="Q40" s="12" cm="1">
        <f t="array" ref="Q40">SkillFormula(Q$4,B40)</f>
        <v>102.24000000000001</v>
      </c>
      <c r="R40" s="11"/>
    </row>
    <row r="41" spans="1:26" x14ac:dyDescent="0.3">
      <c r="A41" s="8">
        <v>35</v>
      </c>
      <c r="B41" s="12">
        <f t="shared" si="8"/>
        <v>73</v>
      </c>
      <c r="C41" s="11"/>
      <c r="D41" s="12">
        <f t="shared" si="6"/>
        <v>350</v>
      </c>
      <c r="E41" s="11"/>
      <c r="F41" s="12">
        <f t="shared" si="7"/>
        <v>174</v>
      </c>
      <c r="G41" s="11"/>
      <c r="I41" s="12">
        <f t="shared" si="11"/>
        <v>29.200000000000003</v>
      </c>
      <c r="J41" s="10"/>
      <c r="K41" s="13">
        <f t="shared" si="1"/>
        <v>7.3000000000000007</v>
      </c>
      <c r="L41" s="13"/>
      <c r="M41" s="13">
        <f t="shared" si="2"/>
        <v>94.9</v>
      </c>
      <c r="N41" s="13"/>
      <c r="O41" s="10">
        <f t="shared" si="10"/>
        <v>124.1</v>
      </c>
      <c r="P41" s="11"/>
      <c r="Q41" s="12" cm="1">
        <f t="array" ref="Q41">SkillFormula(Q$4,B41)</f>
        <v>105.12</v>
      </c>
      <c r="R41" s="11"/>
    </row>
    <row r="42" spans="1:26" x14ac:dyDescent="0.3">
      <c r="A42" s="8">
        <v>36</v>
      </c>
      <c r="B42" s="12">
        <f t="shared" si="8"/>
        <v>75</v>
      </c>
      <c r="C42" s="11"/>
      <c r="D42" s="12">
        <f t="shared" si="6"/>
        <v>360</v>
      </c>
      <c r="E42" s="11"/>
      <c r="F42" s="12">
        <f t="shared" si="7"/>
        <v>179</v>
      </c>
      <c r="G42" s="11"/>
      <c r="I42" s="12">
        <f t="shared" si="11"/>
        <v>30</v>
      </c>
      <c r="J42" s="10"/>
      <c r="K42" s="13">
        <f t="shared" si="1"/>
        <v>7.5</v>
      </c>
      <c r="L42" s="13"/>
      <c r="M42" s="13">
        <f t="shared" si="2"/>
        <v>97.5</v>
      </c>
      <c r="N42" s="13"/>
      <c r="O42" s="10">
        <f t="shared" si="10"/>
        <v>127.5</v>
      </c>
      <c r="P42" s="11"/>
      <c r="Q42" s="12" cm="1">
        <f t="array" ref="Q42">SkillFormula(Q$4,B42)</f>
        <v>108</v>
      </c>
      <c r="R42" s="11"/>
    </row>
    <row r="43" spans="1:26" x14ac:dyDescent="0.3">
      <c r="A43" s="8">
        <v>37</v>
      </c>
      <c r="B43" s="12">
        <f t="shared" si="8"/>
        <v>77</v>
      </c>
      <c r="C43" s="11"/>
      <c r="D43" s="12">
        <f t="shared" si="6"/>
        <v>370</v>
      </c>
      <c r="E43" s="11"/>
      <c r="F43" s="12">
        <f t="shared" si="7"/>
        <v>184</v>
      </c>
      <c r="G43" s="11"/>
      <c r="I43" s="12">
        <f t="shared" si="11"/>
        <v>30.8</v>
      </c>
      <c r="J43" s="10"/>
      <c r="K43" s="13">
        <f t="shared" si="1"/>
        <v>7.7</v>
      </c>
      <c r="L43" s="13"/>
      <c r="M43" s="13">
        <f t="shared" si="2"/>
        <v>100.10000000000001</v>
      </c>
      <c r="N43" s="13"/>
      <c r="O43" s="10">
        <f t="shared" si="10"/>
        <v>130.9</v>
      </c>
      <c r="P43" s="11"/>
      <c r="Q43" s="12" cm="1">
        <f t="array" ref="Q43">SkillFormula(Q$4,B43)</f>
        <v>110.88</v>
      </c>
      <c r="R43" s="11"/>
    </row>
    <row r="44" spans="1:26" x14ac:dyDescent="0.3">
      <c r="A44" s="8">
        <v>38</v>
      </c>
      <c r="B44" s="12">
        <f t="shared" si="8"/>
        <v>79</v>
      </c>
      <c r="C44" s="11"/>
      <c r="D44" s="12">
        <f t="shared" si="6"/>
        <v>380</v>
      </c>
      <c r="E44" s="11"/>
      <c r="F44" s="12">
        <f t="shared" si="7"/>
        <v>189</v>
      </c>
      <c r="G44" s="11"/>
      <c r="I44" s="12">
        <f t="shared" si="11"/>
        <v>31.6</v>
      </c>
      <c r="J44" s="10"/>
      <c r="K44" s="13">
        <f t="shared" si="1"/>
        <v>7.9</v>
      </c>
      <c r="L44" s="13"/>
      <c r="M44" s="13">
        <f t="shared" si="2"/>
        <v>102.7</v>
      </c>
      <c r="N44" s="13"/>
      <c r="O44" s="10">
        <f t="shared" si="10"/>
        <v>134.29999999999998</v>
      </c>
      <c r="P44" s="11"/>
      <c r="Q44" s="12" cm="1">
        <f t="array" ref="Q44">SkillFormula(Q$4,B44)</f>
        <v>113.75999999999999</v>
      </c>
      <c r="R44" s="11"/>
    </row>
    <row r="45" spans="1:26" x14ac:dyDescent="0.3">
      <c r="A45" s="8">
        <v>39</v>
      </c>
      <c r="B45" s="12">
        <f t="shared" si="8"/>
        <v>81</v>
      </c>
      <c r="C45" s="11"/>
      <c r="D45" s="12">
        <f t="shared" si="6"/>
        <v>390</v>
      </c>
      <c r="E45" s="11"/>
      <c r="F45" s="12">
        <f t="shared" si="7"/>
        <v>194</v>
      </c>
      <c r="G45" s="11"/>
      <c r="I45" s="12">
        <f t="shared" si="11"/>
        <v>32.4</v>
      </c>
      <c r="J45" s="10"/>
      <c r="K45" s="13">
        <f t="shared" si="1"/>
        <v>8.1</v>
      </c>
      <c r="L45" s="13"/>
      <c r="M45" s="13">
        <f t="shared" si="2"/>
        <v>105.3</v>
      </c>
      <c r="N45" s="13"/>
      <c r="O45" s="10">
        <f t="shared" si="10"/>
        <v>137.69999999999999</v>
      </c>
      <c r="P45" s="11"/>
      <c r="Q45" s="12" cm="1">
        <f t="array" ref="Q45">SkillFormula(Q$4,B45)</f>
        <v>116.64000000000001</v>
      </c>
      <c r="R45" s="11"/>
    </row>
    <row r="46" spans="1:26" x14ac:dyDescent="0.3">
      <c r="A46" s="8">
        <v>40</v>
      </c>
      <c r="B46" s="12">
        <f t="shared" si="8"/>
        <v>83</v>
      </c>
      <c r="C46" s="11"/>
      <c r="D46" s="12">
        <f t="shared" si="6"/>
        <v>400</v>
      </c>
      <c r="E46" s="11"/>
      <c r="F46" s="12">
        <f t="shared" si="7"/>
        <v>199</v>
      </c>
      <c r="G46" s="11"/>
      <c r="I46" s="12">
        <f t="shared" si="11"/>
        <v>33.200000000000003</v>
      </c>
      <c r="J46" s="10"/>
      <c r="K46" s="13">
        <f t="shared" si="1"/>
        <v>8.3000000000000007</v>
      </c>
      <c r="L46" s="13"/>
      <c r="M46" s="13">
        <f t="shared" si="2"/>
        <v>107.9</v>
      </c>
      <c r="N46" s="13"/>
      <c r="O46" s="10">
        <f t="shared" si="10"/>
        <v>141.1</v>
      </c>
      <c r="P46" s="11"/>
      <c r="Q46" s="12" cm="1">
        <f t="array" ref="Q46">SkillFormula(Q$4,B46)</f>
        <v>119.52000000000001</v>
      </c>
      <c r="R46" s="11"/>
    </row>
    <row r="47" spans="1:26" x14ac:dyDescent="0.3">
      <c r="A47" s="8">
        <v>41</v>
      </c>
      <c r="B47" s="12">
        <f t="shared" si="8"/>
        <v>85</v>
      </c>
      <c r="C47" s="11"/>
      <c r="D47" s="12">
        <f t="shared" si="6"/>
        <v>410</v>
      </c>
      <c r="E47" s="11"/>
      <c r="F47" s="12">
        <f t="shared" si="7"/>
        <v>204</v>
      </c>
      <c r="G47" s="11"/>
      <c r="I47" s="12">
        <f t="shared" si="11"/>
        <v>34</v>
      </c>
      <c r="J47" s="10"/>
      <c r="K47" s="13">
        <f t="shared" si="1"/>
        <v>8.5</v>
      </c>
      <c r="L47" s="13"/>
      <c r="M47" s="13">
        <f t="shared" si="2"/>
        <v>110.5</v>
      </c>
      <c r="N47" s="13"/>
      <c r="O47" s="10">
        <f t="shared" si="10"/>
        <v>144.5</v>
      </c>
      <c r="P47" s="11"/>
      <c r="Q47" s="12" cm="1">
        <f t="array" ref="Q47">SkillFormula(Q$4,B47)</f>
        <v>122.4</v>
      </c>
      <c r="R47" s="11"/>
    </row>
    <row r="48" spans="1:26" x14ac:dyDescent="0.3">
      <c r="A48" s="8">
        <v>42</v>
      </c>
      <c r="B48" s="12">
        <f t="shared" si="8"/>
        <v>87</v>
      </c>
      <c r="C48" s="11"/>
      <c r="D48" s="12">
        <f t="shared" si="6"/>
        <v>420</v>
      </c>
      <c r="E48" s="11"/>
      <c r="F48" s="12">
        <f t="shared" si="7"/>
        <v>209</v>
      </c>
      <c r="G48" s="11"/>
      <c r="I48" s="12">
        <f t="shared" si="11"/>
        <v>34.800000000000004</v>
      </c>
      <c r="J48" s="10"/>
      <c r="K48" s="13">
        <f t="shared" si="1"/>
        <v>8.7000000000000011</v>
      </c>
      <c r="L48" s="13"/>
      <c r="M48" s="13">
        <f t="shared" si="2"/>
        <v>113.10000000000001</v>
      </c>
      <c r="N48" s="13"/>
      <c r="O48" s="10">
        <f t="shared" si="10"/>
        <v>147.9</v>
      </c>
      <c r="P48" s="11"/>
      <c r="Q48" s="12" cm="1">
        <f t="array" ref="Q48">SkillFormula(Q$4,B48)</f>
        <v>125.28</v>
      </c>
      <c r="R48" s="11"/>
    </row>
    <row r="49" spans="1:18" x14ac:dyDescent="0.3">
      <c r="A49" s="8">
        <v>43</v>
      </c>
      <c r="B49" s="12">
        <f t="shared" si="8"/>
        <v>89</v>
      </c>
      <c r="C49" s="11"/>
      <c r="D49" s="12">
        <f t="shared" si="6"/>
        <v>430</v>
      </c>
      <c r="E49" s="11"/>
      <c r="F49" s="12">
        <f t="shared" si="7"/>
        <v>214</v>
      </c>
      <c r="G49" s="11"/>
      <c r="I49" s="12">
        <f t="shared" si="11"/>
        <v>35.6</v>
      </c>
      <c r="J49" s="10"/>
      <c r="K49" s="13">
        <f t="shared" si="1"/>
        <v>8.9</v>
      </c>
      <c r="L49" s="13"/>
      <c r="M49" s="13">
        <f t="shared" si="2"/>
        <v>115.7</v>
      </c>
      <c r="N49" s="13"/>
      <c r="O49" s="10">
        <f t="shared" si="10"/>
        <v>151.29999999999998</v>
      </c>
      <c r="P49" s="11"/>
      <c r="Q49" s="12" cm="1">
        <f t="array" ref="Q49">SkillFormula(Q$4,B49)</f>
        <v>128.16</v>
      </c>
      <c r="R49" s="11"/>
    </row>
    <row r="50" spans="1:18" x14ac:dyDescent="0.3">
      <c r="A50" s="8">
        <v>44</v>
      </c>
      <c r="B50" s="12">
        <f t="shared" si="8"/>
        <v>91</v>
      </c>
      <c r="C50" s="11"/>
      <c r="D50" s="12">
        <f t="shared" si="6"/>
        <v>440</v>
      </c>
      <c r="E50" s="11"/>
      <c r="F50" s="12">
        <f t="shared" si="7"/>
        <v>219</v>
      </c>
      <c r="G50" s="11"/>
      <c r="I50" s="12">
        <f t="shared" si="11"/>
        <v>36.4</v>
      </c>
      <c r="J50" s="10"/>
      <c r="K50" s="13">
        <f t="shared" si="1"/>
        <v>9.1</v>
      </c>
      <c r="L50" s="13"/>
      <c r="M50" s="13">
        <f t="shared" si="2"/>
        <v>118.3</v>
      </c>
      <c r="N50" s="13"/>
      <c r="O50" s="10">
        <f t="shared" si="10"/>
        <v>154.69999999999999</v>
      </c>
      <c r="P50" s="11"/>
      <c r="Q50" s="12" cm="1">
        <f t="array" ref="Q50">SkillFormula(Q$4,B50)</f>
        <v>131.04000000000002</v>
      </c>
      <c r="R50" s="11"/>
    </row>
    <row r="51" spans="1:18" x14ac:dyDescent="0.3">
      <c r="A51" s="8">
        <v>45</v>
      </c>
      <c r="B51" s="12">
        <f t="shared" si="8"/>
        <v>93</v>
      </c>
      <c r="C51" s="11"/>
      <c r="D51" s="12">
        <f t="shared" si="6"/>
        <v>450</v>
      </c>
      <c r="E51" s="11"/>
      <c r="F51" s="12">
        <f t="shared" si="7"/>
        <v>224</v>
      </c>
      <c r="G51" s="11"/>
      <c r="I51" s="12">
        <f t="shared" si="11"/>
        <v>37.200000000000003</v>
      </c>
      <c r="J51" s="10"/>
      <c r="K51" s="13">
        <f t="shared" si="1"/>
        <v>9.3000000000000007</v>
      </c>
      <c r="L51" s="13"/>
      <c r="M51" s="13">
        <f t="shared" si="2"/>
        <v>120.9</v>
      </c>
      <c r="N51" s="13"/>
      <c r="O51" s="10">
        <f t="shared" si="10"/>
        <v>158.1</v>
      </c>
      <c r="P51" s="11"/>
      <c r="Q51" s="12" cm="1">
        <f t="array" ref="Q51">SkillFormula(Q$4,B51)</f>
        <v>133.92000000000002</v>
      </c>
      <c r="R51" s="11"/>
    </row>
    <row r="52" spans="1:18" x14ac:dyDescent="0.3">
      <c r="A52" s="8">
        <v>46</v>
      </c>
      <c r="B52" s="12">
        <f t="shared" si="8"/>
        <v>95</v>
      </c>
      <c r="C52" s="11"/>
      <c r="D52" s="12">
        <f t="shared" si="6"/>
        <v>460</v>
      </c>
      <c r="E52" s="11"/>
      <c r="F52" s="12">
        <f t="shared" si="7"/>
        <v>229</v>
      </c>
      <c r="G52" s="11"/>
      <c r="I52" s="12">
        <f t="shared" si="11"/>
        <v>38</v>
      </c>
      <c r="J52" s="10"/>
      <c r="K52" s="13">
        <f t="shared" si="1"/>
        <v>9.5</v>
      </c>
      <c r="L52" s="13"/>
      <c r="M52" s="13">
        <f t="shared" si="2"/>
        <v>123.5</v>
      </c>
      <c r="N52" s="13"/>
      <c r="O52" s="10">
        <f t="shared" si="10"/>
        <v>161.5</v>
      </c>
      <c r="P52" s="11"/>
      <c r="Q52" s="12" cm="1">
        <f t="array" ref="Q52">SkillFormula(Q$4,B52)</f>
        <v>136.80000000000001</v>
      </c>
      <c r="R52" s="11"/>
    </row>
    <row r="53" spans="1:18" x14ac:dyDescent="0.3">
      <c r="A53" s="8">
        <v>47</v>
      </c>
      <c r="B53" s="12">
        <f t="shared" si="8"/>
        <v>97</v>
      </c>
      <c r="C53" s="11"/>
      <c r="D53" s="12">
        <f t="shared" si="6"/>
        <v>470</v>
      </c>
      <c r="E53" s="11"/>
      <c r="F53" s="12">
        <f t="shared" si="7"/>
        <v>234</v>
      </c>
      <c r="G53" s="11"/>
      <c r="I53" s="12">
        <f t="shared" si="11"/>
        <v>38.800000000000004</v>
      </c>
      <c r="J53" s="10"/>
      <c r="K53" s="13">
        <f t="shared" si="1"/>
        <v>9.7000000000000011</v>
      </c>
      <c r="L53" s="13"/>
      <c r="M53" s="13">
        <f t="shared" si="2"/>
        <v>126.10000000000001</v>
      </c>
      <c r="N53" s="13"/>
      <c r="O53" s="10">
        <f t="shared" si="10"/>
        <v>164.9</v>
      </c>
      <c r="P53" s="11"/>
      <c r="Q53" s="12" cm="1">
        <f t="array" ref="Q53">SkillFormula(Q$4,B53)</f>
        <v>139.68</v>
      </c>
      <c r="R53" s="11"/>
    </row>
    <row r="54" spans="1:18" x14ac:dyDescent="0.3">
      <c r="A54" s="8">
        <v>48</v>
      </c>
      <c r="B54" s="12">
        <f t="shared" si="8"/>
        <v>99</v>
      </c>
      <c r="C54" s="11"/>
      <c r="D54" s="12">
        <f t="shared" si="6"/>
        <v>480</v>
      </c>
      <c r="E54" s="11"/>
      <c r="F54" s="12">
        <f t="shared" si="7"/>
        <v>239</v>
      </c>
      <c r="G54" s="11"/>
      <c r="I54" s="12">
        <f t="shared" si="11"/>
        <v>39.6</v>
      </c>
      <c r="J54" s="10"/>
      <c r="K54" s="13">
        <f t="shared" si="1"/>
        <v>9.9</v>
      </c>
      <c r="L54" s="13"/>
      <c r="M54" s="13">
        <f t="shared" si="2"/>
        <v>128.70000000000002</v>
      </c>
      <c r="N54" s="13"/>
      <c r="O54" s="10">
        <f t="shared" si="10"/>
        <v>168.29999999999998</v>
      </c>
      <c r="P54" s="11"/>
      <c r="Q54" s="12" cm="1">
        <f t="array" ref="Q54">SkillFormula(Q$4,B54)</f>
        <v>142.56</v>
      </c>
      <c r="R54" s="11"/>
    </row>
    <row r="55" spans="1:18" x14ac:dyDescent="0.3">
      <c r="A55" s="8">
        <v>49</v>
      </c>
      <c r="B55" s="12">
        <f t="shared" si="8"/>
        <v>101</v>
      </c>
      <c r="C55" s="11"/>
      <c r="D55" s="12">
        <f t="shared" si="6"/>
        <v>490</v>
      </c>
      <c r="E55" s="11"/>
      <c r="F55" s="12">
        <f t="shared" si="7"/>
        <v>244</v>
      </c>
      <c r="G55" s="11"/>
      <c r="I55" s="12">
        <f t="shared" si="11"/>
        <v>40.400000000000006</v>
      </c>
      <c r="J55" s="10"/>
      <c r="K55" s="13">
        <f t="shared" si="1"/>
        <v>10.100000000000001</v>
      </c>
      <c r="L55" s="13"/>
      <c r="M55" s="13">
        <f t="shared" si="2"/>
        <v>131.30000000000001</v>
      </c>
      <c r="N55" s="13"/>
      <c r="O55" s="10">
        <f t="shared" si="10"/>
        <v>171.7</v>
      </c>
      <c r="P55" s="11"/>
      <c r="Q55" s="12" cm="1">
        <f t="array" ref="Q55">SkillFormula(Q$4,B55)</f>
        <v>145.44000000000003</v>
      </c>
      <c r="R55" s="11"/>
    </row>
    <row r="56" spans="1:18" x14ac:dyDescent="0.3">
      <c r="A56" s="8">
        <v>50</v>
      </c>
      <c r="B56" s="12">
        <f t="shared" si="8"/>
        <v>103</v>
      </c>
      <c r="C56" s="11"/>
      <c r="D56" s="12">
        <f t="shared" si="6"/>
        <v>500</v>
      </c>
      <c r="E56" s="11"/>
      <c r="F56" s="12">
        <f t="shared" si="7"/>
        <v>249</v>
      </c>
      <c r="G56" s="11"/>
      <c r="I56" s="12">
        <f t="shared" si="11"/>
        <v>41.2</v>
      </c>
      <c r="J56" s="10"/>
      <c r="K56" s="13">
        <f t="shared" si="1"/>
        <v>10.3</v>
      </c>
      <c r="L56" s="13"/>
      <c r="M56" s="13">
        <f t="shared" si="2"/>
        <v>133.9</v>
      </c>
      <c r="N56" s="13"/>
      <c r="O56" s="10">
        <f t="shared" si="10"/>
        <v>175.1</v>
      </c>
      <c r="P56" s="11"/>
      <c r="Q56" s="12" cm="1">
        <f t="array" ref="Q56">SkillFormula(Q$4,B56)</f>
        <v>148.32000000000002</v>
      </c>
      <c r="R56" s="11"/>
    </row>
    <row r="57" spans="1:18" x14ac:dyDescent="0.3">
      <c r="A57" s="8">
        <v>51</v>
      </c>
      <c r="B57" s="12">
        <f t="shared" si="8"/>
        <v>105</v>
      </c>
      <c r="C57" s="11"/>
      <c r="D57" s="12">
        <f t="shared" si="6"/>
        <v>510</v>
      </c>
      <c r="E57" s="11"/>
      <c r="F57" s="12">
        <f t="shared" si="7"/>
        <v>254</v>
      </c>
      <c r="G57" s="11"/>
      <c r="I57" s="12">
        <f t="shared" si="11"/>
        <v>42</v>
      </c>
      <c r="J57" s="10"/>
      <c r="K57" s="13">
        <f t="shared" si="1"/>
        <v>10.5</v>
      </c>
      <c r="L57" s="13"/>
      <c r="M57" s="13">
        <f t="shared" si="2"/>
        <v>136.5</v>
      </c>
      <c r="N57" s="13"/>
      <c r="O57" s="10">
        <f t="shared" si="10"/>
        <v>178.5</v>
      </c>
      <c r="P57" s="11"/>
      <c r="Q57" s="12" cm="1">
        <f t="array" ref="Q57">SkillFormula(Q$4,B57)</f>
        <v>151.20000000000002</v>
      </c>
      <c r="R57" s="11"/>
    </row>
    <row r="58" spans="1:18" x14ac:dyDescent="0.3">
      <c r="A58" s="8">
        <v>52</v>
      </c>
      <c r="B58" s="12">
        <f t="shared" si="8"/>
        <v>107</v>
      </c>
      <c r="C58" s="11"/>
      <c r="D58" s="12">
        <f t="shared" si="6"/>
        <v>520</v>
      </c>
      <c r="E58" s="11"/>
      <c r="F58" s="12">
        <f t="shared" si="7"/>
        <v>259</v>
      </c>
      <c r="G58" s="11"/>
      <c r="I58" s="12">
        <f t="shared" si="11"/>
        <v>42.800000000000004</v>
      </c>
      <c r="J58" s="10"/>
      <c r="K58" s="13">
        <f t="shared" si="1"/>
        <v>10.700000000000001</v>
      </c>
      <c r="L58" s="13"/>
      <c r="M58" s="13">
        <f t="shared" si="2"/>
        <v>139.1</v>
      </c>
      <c r="N58" s="13"/>
      <c r="O58" s="10">
        <f t="shared" si="10"/>
        <v>181.9</v>
      </c>
      <c r="P58" s="11"/>
      <c r="Q58" s="12" cm="1">
        <f t="array" ref="Q58">SkillFormula(Q$4,B58)</f>
        <v>154.08000000000001</v>
      </c>
      <c r="R58" s="11"/>
    </row>
    <row r="59" spans="1:18" x14ac:dyDescent="0.3">
      <c r="A59" s="8">
        <v>53</v>
      </c>
      <c r="B59" s="12">
        <f t="shared" si="8"/>
        <v>109</v>
      </c>
      <c r="C59" s="11"/>
      <c r="D59" s="12">
        <f t="shared" si="6"/>
        <v>530</v>
      </c>
      <c r="E59" s="11"/>
      <c r="F59" s="12">
        <f t="shared" si="7"/>
        <v>264</v>
      </c>
      <c r="G59" s="11"/>
      <c r="I59" s="12">
        <f t="shared" si="11"/>
        <v>43.6</v>
      </c>
      <c r="J59" s="10"/>
      <c r="K59" s="13">
        <f t="shared" si="1"/>
        <v>10.9</v>
      </c>
      <c r="L59" s="13"/>
      <c r="M59" s="13">
        <f t="shared" si="2"/>
        <v>141.70000000000002</v>
      </c>
      <c r="N59" s="13"/>
      <c r="O59" s="10">
        <f t="shared" si="10"/>
        <v>185.29999999999998</v>
      </c>
      <c r="P59" s="11"/>
      <c r="Q59" s="12" cm="1">
        <f t="array" ref="Q59">SkillFormula(Q$4,B59)</f>
        <v>156.96</v>
      </c>
      <c r="R59" s="11"/>
    </row>
    <row r="60" spans="1:18" x14ac:dyDescent="0.3">
      <c r="A60" s="8">
        <v>54</v>
      </c>
      <c r="B60" s="12">
        <f t="shared" si="8"/>
        <v>111</v>
      </c>
      <c r="C60" s="11"/>
      <c r="D60" s="12">
        <f t="shared" si="6"/>
        <v>540</v>
      </c>
      <c r="E60" s="11"/>
      <c r="F60" s="12">
        <f t="shared" si="7"/>
        <v>269</v>
      </c>
      <c r="G60" s="11"/>
      <c r="I60" s="12">
        <f t="shared" si="11"/>
        <v>44.400000000000006</v>
      </c>
      <c r="J60" s="10"/>
      <c r="K60" s="13">
        <f t="shared" si="1"/>
        <v>11.100000000000001</v>
      </c>
      <c r="L60" s="13"/>
      <c r="M60" s="13">
        <f t="shared" si="2"/>
        <v>144.30000000000001</v>
      </c>
      <c r="N60" s="13"/>
      <c r="O60" s="10">
        <f t="shared" si="10"/>
        <v>188.7</v>
      </c>
      <c r="P60" s="11"/>
      <c r="Q60" s="12" cm="1">
        <f t="array" ref="Q60">SkillFormula(Q$4,B60)</f>
        <v>159.84000000000003</v>
      </c>
      <c r="R60" s="11"/>
    </row>
    <row r="61" spans="1:18" x14ac:dyDescent="0.3">
      <c r="A61" s="8">
        <v>55</v>
      </c>
      <c r="B61" s="12">
        <f t="shared" si="8"/>
        <v>113</v>
      </c>
      <c r="C61" s="11"/>
      <c r="D61" s="12">
        <f t="shared" si="6"/>
        <v>550</v>
      </c>
      <c r="E61" s="11"/>
      <c r="F61" s="12">
        <f t="shared" si="7"/>
        <v>274</v>
      </c>
      <c r="G61" s="11"/>
      <c r="I61" s="12">
        <f t="shared" si="11"/>
        <v>45.2</v>
      </c>
      <c r="J61" s="10"/>
      <c r="K61" s="13">
        <f t="shared" si="1"/>
        <v>11.3</v>
      </c>
      <c r="L61" s="13"/>
      <c r="M61" s="13">
        <f t="shared" si="2"/>
        <v>146.9</v>
      </c>
      <c r="N61" s="13"/>
      <c r="O61" s="10">
        <f t="shared" si="10"/>
        <v>192.1</v>
      </c>
      <c r="P61" s="11"/>
      <c r="Q61" s="12" cm="1">
        <f t="array" ref="Q61">SkillFormula(Q$4,B61)</f>
        <v>162.72000000000003</v>
      </c>
      <c r="R61" s="11"/>
    </row>
    <row r="62" spans="1:18" x14ac:dyDescent="0.3">
      <c r="A62" s="8">
        <v>56</v>
      </c>
      <c r="B62" s="12">
        <f t="shared" si="8"/>
        <v>115</v>
      </c>
      <c r="C62" s="11"/>
      <c r="D62" s="12">
        <f t="shared" si="6"/>
        <v>560</v>
      </c>
      <c r="E62" s="11"/>
      <c r="F62" s="12">
        <f t="shared" si="7"/>
        <v>279</v>
      </c>
      <c r="G62" s="11"/>
      <c r="I62" s="12">
        <f t="shared" si="11"/>
        <v>46</v>
      </c>
      <c r="J62" s="10"/>
      <c r="K62" s="13">
        <f t="shared" si="1"/>
        <v>11.5</v>
      </c>
      <c r="L62" s="13"/>
      <c r="M62" s="13">
        <f t="shared" si="2"/>
        <v>149.5</v>
      </c>
      <c r="N62" s="13"/>
      <c r="O62" s="10">
        <f t="shared" si="10"/>
        <v>195.5</v>
      </c>
      <c r="P62" s="11"/>
      <c r="Q62" s="12" cm="1">
        <f t="array" ref="Q62">SkillFormula(Q$4,B62)</f>
        <v>165.60000000000002</v>
      </c>
      <c r="R62" s="11"/>
    </row>
    <row r="63" spans="1:18" x14ac:dyDescent="0.3">
      <c r="A63" s="8">
        <v>57</v>
      </c>
      <c r="B63" s="12">
        <f t="shared" si="8"/>
        <v>117</v>
      </c>
      <c r="C63" s="11"/>
      <c r="D63" s="12">
        <f t="shared" si="6"/>
        <v>570</v>
      </c>
      <c r="E63" s="11"/>
      <c r="F63" s="12">
        <f t="shared" si="7"/>
        <v>284</v>
      </c>
      <c r="G63" s="11"/>
      <c r="I63" s="12">
        <f t="shared" si="11"/>
        <v>46.800000000000004</v>
      </c>
      <c r="J63" s="10"/>
      <c r="K63" s="13">
        <f t="shared" si="1"/>
        <v>11.700000000000001</v>
      </c>
      <c r="L63" s="13"/>
      <c r="M63" s="13">
        <f t="shared" si="2"/>
        <v>152.1</v>
      </c>
      <c r="N63" s="13"/>
      <c r="O63" s="10">
        <f t="shared" si="10"/>
        <v>198.9</v>
      </c>
      <c r="P63" s="11"/>
      <c r="Q63" s="12" cm="1">
        <f t="array" ref="Q63">SkillFormula(Q$4,B63)</f>
        <v>168.48000000000002</v>
      </c>
      <c r="R63" s="11"/>
    </row>
    <row r="64" spans="1:18" x14ac:dyDescent="0.3">
      <c r="A64" s="8">
        <v>58</v>
      </c>
      <c r="B64" s="12">
        <f t="shared" si="8"/>
        <v>119</v>
      </c>
      <c r="C64" s="11"/>
      <c r="D64" s="12">
        <f t="shared" si="6"/>
        <v>580</v>
      </c>
      <c r="E64" s="11"/>
      <c r="F64" s="12">
        <f t="shared" si="7"/>
        <v>289</v>
      </c>
      <c r="G64" s="11"/>
      <c r="I64" s="12">
        <f t="shared" si="11"/>
        <v>47.6</v>
      </c>
      <c r="J64" s="10"/>
      <c r="K64" s="13">
        <f t="shared" si="1"/>
        <v>11.9</v>
      </c>
      <c r="L64" s="13"/>
      <c r="M64" s="13">
        <f t="shared" si="2"/>
        <v>154.70000000000002</v>
      </c>
      <c r="N64" s="13"/>
      <c r="O64" s="10">
        <f t="shared" si="10"/>
        <v>202.29999999999998</v>
      </c>
      <c r="P64" s="11"/>
      <c r="Q64" s="12" cm="1">
        <f t="array" ref="Q64">SkillFormula(Q$4,B64)</f>
        <v>171.36</v>
      </c>
      <c r="R64" s="11"/>
    </row>
    <row r="65" spans="1:18" x14ac:dyDescent="0.3">
      <c r="A65" s="8">
        <v>59</v>
      </c>
      <c r="B65" s="12">
        <f t="shared" si="8"/>
        <v>121</v>
      </c>
      <c r="C65" s="11"/>
      <c r="D65" s="12">
        <f t="shared" si="6"/>
        <v>590</v>
      </c>
      <c r="E65" s="11"/>
      <c r="F65" s="12">
        <f t="shared" si="7"/>
        <v>294</v>
      </c>
      <c r="G65" s="11"/>
      <c r="I65" s="12">
        <f t="shared" si="11"/>
        <v>48.400000000000006</v>
      </c>
      <c r="J65" s="10"/>
      <c r="K65" s="13">
        <f t="shared" si="1"/>
        <v>12.100000000000001</v>
      </c>
      <c r="L65" s="13"/>
      <c r="M65" s="13">
        <f t="shared" si="2"/>
        <v>157.30000000000001</v>
      </c>
      <c r="N65" s="13"/>
      <c r="O65" s="10">
        <f t="shared" si="10"/>
        <v>205.7</v>
      </c>
      <c r="P65" s="11"/>
      <c r="Q65" s="12" cm="1">
        <f t="array" ref="Q65">SkillFormula(Q$4,B65)</f>
        <v>174.24</v>
      </c>
      <c r="R65" s="11"/>
    </row>
    <row r="66" spans="1:18" x14ac:dyDescent="0.3">
      <c r="A66" s="8">
        <v>60</v>
      </c>
      <c r="B66" s="12">
        <f t="shared" si="8"/>
        <v>123</v>
      </c>
      <c r="C66" s="11"/>
      <c r="D66" s="12">
        <f t="shared" si="6"/>
        <v>600</v>
      </c>
      <c r="E66" s="11"/>
      <c r="F66" s="12">
        <f t="shared" si="7"/>
        <v>299</v>
      </c>
      <c r="G66" s="11"/>
      <c r="I66" s="12">
        <f t="shared" si="11"/>
        <v>49.2</v>
      </c>
      <c r="J66" s="10"/>
      <c r="K66" s="13">
        <f t="shared" si="1"/>
        <v>12.3</v>
      </c>
      <c r="L66" s="13"/>
      <c r="M66" s="13">
        <f t="shared" si="2"/>
        <v>159.9</v>
      </c>
      <c r="N66" s="13"/>
      <c r="O66" s="10">
        <f t="shared" si="10"/>
        <v>209.1</v>
      </c>
      <c r="P66" s="11"/>
      <c r="Q66" s="12" cm="1">
        <f t="array" ref="Q66">SkillFormula(Q$4,B66)</f>
        <v>177.12</v>
      </c>
      <c r="R66" s="11"/>
    </row>
    <row r="67" spans="1:18" x14ac:dyDescent="0.3">
      <c r="A67" s="8">
        <v>61</v>
      </c>
      <c r="B67" s="12">
        <f t="shared" si="8"/>
        <v>125</v>
      </c>
      <c r="C67" s="11"/>
      <c r="D67" s="12">
        <f t="shared" si="6"/>
        <v>610</v>
      </c>
      <c r="E67" s="11"/>
      <c r="F67" s="12">
        <f t="shared" si="7"/>
        <v>304</v>
      </c>
      <c r="G67" s="11"/>
      <c r="I67" s="12">
        <f t="shared" si="11"/>
        <v>50</v>
      </c>
      <c r="J67" s="10"/>
      <c r="K67" s="13">
        <f t="shared" si="1"/>
        <v>12.5</v>
      </c>
      <c r="L67" s="13"/>
      <c r="M67" s="13">
        <f t="shared" si="2"/>
        <v>162.5</v>
      </c>
      <c r="N67" s="13"/>
      <c r="O67" s="10">
        <f t="shared" si="10"/>
        <v>212.5</v>
      </c>
      <c r="P67" s="11"/>
      <c r="Q67" s="12" cm="1">
        <f t="array" ref="Q67">SkillFormula(Q$4,B67)</f>
        <v>180</v>
      </c>
      <c r="R67" s="11"/>
    </row>
    <row r="68" spans="1:18" x14ac:dyDescent="0.3">
      <c r="A68" s="8">
        <v>62</v>
      </c>
      <c r="B68" s="12">
        <f t="shared" si="8"/>
        <v>127</v>
      </c>
      <c r="C68" s="11"/>
      <c r="D68" s="12">
        <f t="shared" si="6"/>
        <v>620</v>
      </c>
      <c r="E68" s="11"/>
      <c r="F68" s="12">
        <f t="shared" si="7"/>
        <v>309</v>
      </c>
      <c r="G68" s="11"/>
      <c r="I68" s="12">
        <f t="shared" si="11"/>
        <v>50.800000000000004</v>
      </c>
      <c r="J68" s="10"/>
      <c r="K68" s="13">
        <f t="shared" si="1"/>
        <v>12.700000000000001</v>
      </c>
      <c r="L68" s="13"/>
      <c r="M68" s="13">
        <f t="shared" si="2"/>
        <v>165.1</v>
      </c>
      <c r="N68" s="13"/>
      <c r="O68" s="10">
        <f t="shared" si="10"/>
        <v>215.9</v>
      </c>
      <c r="P68" s="11"/>
      <c r="Q68" s="12" cm="1">
        <f t="array" ref="Q68">SkillFormula(Q$4,B68)</f>
        <v>182.88</v>
      </c>
      <c r="R68" s="11"/>
    </row>
    <row r="69" spans="1:18" x14ac:dyDescent="0.3">
      <c r="A69" s="8">
        <v>63</v>
      </c>
      <c r="B69" s="12">
        <f t="shared" si="8"/>
        <v>129</v>
      </c>
      <c r="C69" s="11"/>
      <c r="D69" s="12">
        <f t="shared" si="6"/>
        <v>630</v>
      </c>
      <c r="E69" s="11"/>
      <c r="F69" s="12">
        <f t="shared" si="7"/>
        <v>314</v>
      </c>
      <c r="G69" s="11"/>
      <c r="I69" s="12">
        <f t="shared" si="11"/>
        <v>51.6</v>
      </c>
      <c r="J69" s="10"/>
      <c r="K69" s="13">
        <f t="shared" si="1"/>
        <v>12.9</v>
      </c>
      <c r="L69" s="13"/>
      <c r="M69" s="13">
        <f t="shared" si="2"/>
        <v>167.70000000000002</v>
      </c>
      <c r="N69" s="13"/>
      <c r="O69" s="10">
        <f t="shared" si="10"/>
        <v>219.29999999999998</v>
      </c>
      <c r="P69" s="11"/>
      <c r="Q69" s="12" cm="1">
        <f t="array" ref="Q69">SkillFormula(Q$4,B69)</f>
        <v>185.76</v>
      </c>
      <c r="R69" s="11"/>
    </row>
    <row r="70" spans="1:18" x14ac:dyDescent="0.3">
      <c r="A70" s="8">
        <v>64</v>
      </c>
      <c r="B70" s="12">
        <f t="shared" si="8"/>
        <v>131</v>
      </c>
      <c r="C70" s="11"/>
      <c r="D70" s="12">
        <f t="shared" si="6"/>
        <v>640</v>
      </c>
      <c r="E70" s="11"/>
      <c r="F70" s="12">
        <f t="shared" si="7"/>
        <v>319</v>
      </c>
      <c r="G70" s="11"/>
      <c r="I70" s="12">
        <f t="shared" si="11"/>
        <v>52.400000000000006</v>
      </c>
      <c r="J70" s="10"/>
      <c r="K70" s="13">
        <f t="shared" si="1"/>
        <v>13.100000000000001</v>
      </c>
      <c r="L70" s="13"/>
      <c r="M70" s="13">
        <f t="shared" si="2"/>
        <v>170.3</v>
      </c>
      <c r="N70" s="13"/>
      <c r="O70" s="10">
        <f t="shared" si="10"/>
        <v>222.7</v>
      </c>
      <c r="P70" s="11"/>
      <c r="Q70" s="12" cm="1">
        <f t="array" ref="Q70">SkillFormula(Q$4,B70)</f>
        <v>188.64000000000001</v>
      </c>
      <c r="R70" s="11"/>
    </row>
    <row r="71" spans="1:18" x14ac:dyDescent="0.3">
      <c r="A71" s="8">
        <v>65</v>
      </c>
      <c r="B71" s="12">
        <f t="shared" si="8"/>
        <v>133</v>
      </c>
      <c r="C71" s="11"/>
      <c r="D71" s="12">
        <f t="shared" si="6"/>
        <v>650</v>
      </c>
      <c r="E71" s="11"/>
      <c r="F71" s="12">
        <f t="shared" si="7"/>
        <v>324</v>
      </c>
      <c r="G71" s="11"/>
      <c r="I71" s="12">
        <f t="shared" si="11"/>
        <v>53.2</v>
      </c>
      <c r="J71" s="10"/>
      <c r="K71" s="13">
        <f t="shared" si="1"/>
        <v>13.3</v>
      </c>
      <c r="L71" s="13"/>
      <c r="M71" s="13">
        <f t="shared" si="2"/>
        <v>172.9</v>
      </c>
      <c r="N71" s="13"/>
      <c r="O71" s="10">
        <f t="shared" si="10"/>
        <v>226.1</v>
      </c>
      <c r="P71" s="11"/>
      <c r="Q71" s="12" cm="1">
        <f t="array" ref="Q71">SkillFormula(Q$4,B71)</f>
        <v>191.52</v>
      </c>
      <c r="R71" s="11"/>
    </row>
    <row r="72" spans="1:18" x14ac:dyDescent="0.3">
      <c r="A72" s="8">
        <v>66</v>
      </c>
      <c r="B72" s="12">
        <f t="shared" si="8"/>
        <v>135</v>
      </c>
      <c r="C72" s="11"/>
      <c r="D72" s="12">
        <f t="shared" si="6"/>
        <v>660</v>
      </c>
      <c r="E72" s="11"/>
      <c r="F72" s="12">
        <f t="shared" si="7"/>
        <v>329</v>
      </c>
      <c r="G72" s="11"/>
      <c r="I72" s="12">
        <f t="shared" si="11"/>
        <v>54</v>
      </c>
      <c r="J72" s="10"/>
      <c r="K72" s="13">
        <f t="shared" ref="K72:K99" si="12">B72 * 0.1</f>
        <v>13.5</v>
      </c>
      <c r="L72" s="13"/>
      <c r="M72" s="13">
        <f t="shared" ref="M72:M99" si="13">B72 * 1.3</f>
        <v>175.5</v>
      </c>
      <c r="N72" s="13"/>
      <c r="O72" s="10">
        <f t="shared" si="10"/>
        <v>229.5</v>
      </c>
      <c r="P72" s="11"/>
      <c r="Q72" s="12" cm="1">
        <f t="array" ref="Q72">SkillFormula(Q$4,B72)</f>
        <v>194.4</v>
      </c>
      <c r="R72" s="11"/>
    </row>
    <row r="73" spans="1:18" x14ac:dyDescent="0.3">
      <c r="A73" s="8">
        <v>67</v>
      </c>
      <c r="B73" s="12">
        <f t="shared" si="8"/>
        <v>137</v>
      </c>
      <c r="C73" s="11"/>
      <c r="D73" s="12">
        <f t="shared" ref="D73:D99" si="14" xml:space="preserve"> D72 + 10</f>
        <v>670</v>
      </c>
      <c r="E73" s="11"/>
      <c r="F73" s="12">
        <f t="shared" ref="F73:F99" si="15" xml:space="preserve"> F72 + 5</f>
        <v>334</v>
      </c>
      <c r="G73" s="11"/>
      <c r="I73" s="12">
        <f t="shared" si="11"/>
        <v>54.800000000000004</v>
      </c>
      <c r="J73" s="10"/>
      <c r="K73" s="13">
        <f t="shared" si="12"/>
        <v>13.700000000000001</v>
      </c>
      <c r="L73" s="13"/>
      <c r="M73" s="13">
        <f t="shared" si="13"/>
        <v>178.1</v>
      </c>
      <c r="N73" s="13"/>
      <c r="O73" s="10">
        <f t="shared" si="10"/>
        <v>232.9</v>
      </c>
      <c r="P73" s="11"/>
      <c r="Q73" s="12" cm="1">
        <f t="array" ref="Q73">SkillFormula(Q$4,B73)</f>
        <v>197.28</v>
      </c>
      <c r="R73" s="11"/>
    </row>
    <row r="74" spans="1:18" x14ac:dyDescent="0.3">
      <c r="A74" s="8">
        <v>68</v>
      </c>
      <c r="B74" s="12">
        <f t="shared" si="8"/>
        <v>139</v>
      </c>
      <c r="C74" s="11"/>
      <c r="D74" s="12">
        <f t="shared" si="14"/>
        <v>680</v>
      </c>
      <c r="E74" s="11"/>
      <c r="F74" s="12">
        <f t="shared" si="15"/>
        <v>339</v>
      </c>
      <c r="G74" s="11"/>
      <c r="I74" s="12">
        <f t="shared" si="11"/>
        <v>55.6</v>
      </c>
      <c r="J74" s="10"/>
      <c r="K74" s="13">
        <f t="shared" si="12"/>
        <v>13.9</v>
      </c>
      <c r="L74" s="13"/>
      <c r="M74" s="13">
        <f t="shared" si="13"/>
        <v>180.70000000000002</v>
      </c>
      <c r="N74" s="13"/>
      <c r="O74" s="10">
        <f t="shared" si="10"/>
        <v>236.29999999999998</v>
      </c>
      <c r="P74" s="11"/>
      <c r="Q74" s="12" cm="1">
        <f t="array" ref="Q74">SkillFormula(Q$4,B74)</f>
        <v>200.16</v>
      </c>
      <c r="R74" s="11"/>
    </row>
    <row r="75" spans="1:18" x14ac:dyDescent="0.3">
      <c r="A75" s="8">
        <v>69</v>
      </c>
      <c r="B75" s="12">
        <f t="shared" si="8"/>
        <v>141</v>
      </c>
      <c r="C75" s="11"/>
      <c r="D75" s="12">
        <f t="shared" si="14"/>
        <v>690</v>
      </c>
      <c r="E75" s="11"/>
      <c r="F75" s="12">
        <f t="shared" si="15"/>
        <v>344</v>
      </c>
      <c r="G75" s="11"/>
      <c r="I75" s="12">
        <f t="shared" si="11"/>
        <v>56.400000000000006</v>
      </c>
      <c r="J75" s="10"/>
      <c r="K75" s="13">
        <f t="shared" si="12"/>
        <v>14.100000000000001</v>
      </c>
      <c r="L75" s="13"/>
      <c r="M75" s="13">
        <f t="shared" si="13"/>
        <v>183.3</v>
      </c>
      <c r="N75" s="13"/>
      <c r="O75" s="10">
        <f t="shared" si="10"/>
        <v>239.7</v>
      </c>
      <c r="P75" s="11"/>
      <c r="Q75" s="12" cm="1">
        <f t="array" ref="Q75">SkillFormula(Q$4,B75)</f>
        <v>203.04000000000002</v>
      </c>
      <c r="R75" s="11"/>
    </row>
    <row r="76" spans="1:18" x14ac:dyDescent="0.3">
      <c r="A76" s="8">
        <v>70</v>
      </c>
      <c r="B76" s="12">
        <f t="shared" si="8"/>
        <v>143</v>
      </c>
      <c r="C76" s="11"/>
      <c r="D76" s="12">
        <f t="shared" si="14"/>
        <v>700</v>
      </c>
      <c r="E76" s="11"/>
      <c r="F76" s="12">
        <f t="shared" si="15"/>
        <v>349</v>
      </c>
      <c r="G76" s="11"/>
      <c r="I76" s="12">
        <f t="shared" si="11"/>
        <v>57.2</v>
      </c>
      <c r="J76" s="10"/>
      <c r="K76" s="13">
        <f t="shared" si="12"/>
        <v>14.3</v>
      </c>
      <c r="L76" s="13"/>
      <c r="M76" s="13">
        <f t="shared" si="13"/>
        <v>185.9</v>
      </c>
      <c r="N76" s="13"/>
      <c r="O76" s="10">
        <f t="shared" si="10"/>
        <v>243.1</v>
      </c>
      <c r="P76" s="11"/>
      <c r="Q76" s="12" cm="1">
        <f t="array" ref="Q76">SkillFormula(Q$4,B76)</f>
        <v>205.92</v>
      </c>
      <c r="R76" s="11"/>
    </row>
    <row r="77" spans="1:18" x14ac:dyDescent="0.3">
      <c r="A77" s="8">
        <v>71</v>
      </c>
      <c r="B77" s="12">
        <f t="shared" ref="B77:B99" si="16" xml:space="preserve"> B76 + 2</f>
        <v>145</v>
      </c>
      <c r="C77" s="11"/>
      <c r="D77" s="12">
        <f t="shared" si="14"/>
        <v>710</v>
      </c>
      <c r="E77" s="11"/>
      <c r="F77" s="12">
        <f t="shared" si="15"/>
        <v>354</v>
      </c>
      <c r="G77" s="11"/>
      <c r="I77" s="12">
        <f t="shared" si="11"/>
        <v>58</v>
      </c>
      <c r="J77" s="10"/>
      <c r="K77" s="13">
        <f t="shared" si="12"/>
        <v>14.5</v>
      </c>
      <c r="L77" s="13"/>
      <c r="M77" s="13">
        <f t="shared" si="13"/>
        <v>188.5</v>
      </c>
      <c r="N77" s="13"/>
      <c r="O77" s="10">
        <f t="shared" si="10"/>
        <v>246.5</v>
      </c>
      <c r="P77" s="11"/>
      <c r="Q77" s="12" cm="1">
        <f t="array" ref="Q77">SkillFormula(Q$4,B77)</f>
        <v>208.8</v>
      </c>
      <c r="R77" s="11"/>
    </row>
    <row r="78" spans="1:18" x14ac:dyDescent="0.3">
      <c r="A78" s="8">
        <v>72</v>
      </c>
      <c r="B78" s="12">
        <f t="shared" si="16"/>
        <v>147</v>
      </c>
      <c r="C78" s="11"/>
      <c r="D78" s="12">
        <f t="shared" si="14"/>
        <v>720</v>
      </c>
      <c r="E78" s="11"/>
      <c r="F78" s="12">
        <f t="shared" si="15"/>
        <v>359</v>
      </c>
      <c r="G78" s="11"/>
      <c r="I78" s="12">
        <f t="shared" si="11"/>
        <v>58.800000000000004</v>
      </c>
      <c r="J78" s="10"/>
      <c r="K78" s="13">
        <f t="shared" si="12"/>
        <v>14.700000000000001</v>
      </c>
      <c r="L78" s="13"/>
      <c r="M78" s="13">
        <f t="shared" si="13"/>
        <v>191.1</v>
      </c>
      <c r="N78" s="13"/>
      <c r="O78" s="10">
        <f t="shared" si="10"/>
        <v>249.9</v>
      </c>
      <c r="P78" s="11"/>
      <c r="Q78" s="12" cm="1">
        <f t="array" ref="Q78">SkillFormula(Q$4,B78)</f>
        <v>211.68000000000004</v>
      </c>
      <c r="R78" s="11"/>
    </row>
    <row r="79" spans="1:18" x14ac:dyDescent="0.3">
      <c r="A79" s="8">
        <v>73</v>
      </c>
      <c r="B79" s="12">
        <f t="shared" si="16"/>
        <v>149</v>
      </c>
      <c r="C79" s="11"/>
      <c r="D79" s="12">
        <f t="shared" si="14"/>
        <v>730</v>
      </c>
      <c r="E79" s="11"/>
      <c r="F79" s="12">
        <f t="shared" si="15"/>
        <v>364</v>
      </c>
      <c r="G79" s="11"/>
      <c r="I79" s="12">
        <f t="shared" si="11"/>
        <v>59.6</v>
      </c>
      <c r="J79" s="10"/>
      <c r="K79" s="13">
        <f t="shared" si="12"/>
        <v>14.9</v>
      </c>
      <c r="L79" s="13"/>
      <c r="M79" s="13">
        <f t="shared" si="13"/>
        <v>193.70000000000002</v>
      </c>
      <c r="N79" s="13"/>
      <c r="O79" s="10">
        <f t="shared" si="10"/>
        <v>253.29999999999998</v>
      </c>
      <c r="P79" s="11"/>
      <c r="Q79" s="12" cm="1">
        <f t="array" ref="Q79">SkillFormula(Q$4,B79)</f>
        <v>214.56</v>
      </c>
      <c r="R79" s="11"/>
    </row>
    <row r="80" spans="1:18" x14ac:dyDescent="0.3">
      <c r="A80" s="8">
        <v>74</v>
      </c>
      <c r="B80" s="12">
        <f t="shared" si="16"/>
        <v>151</v>
      </c>
      <c r="C80" s="11"/>
      <c r="D80" s="12">
        <f t="shared" si="14"/>
        <v>740</v>
      </c>
      <c r="E80" s="11"/>
      <c r="F80" s="12">
        <f t="shared" si="15"/>
        <v>369</v>
      </c>
      <c r="G80" s="11"/>
      <c r="I80" s="12">
        <f t="shared" si="11"/>
        <v>60.400000000000006</v>
      </c>
      <c r="J80" s="10"/>
      <c r="K80" s="13">
        <f t="shared" si="12"/>
        <v>15.100000000000001</v>
      </c>
      <c r="L80" s="13"/>
      <c r="M80" s="13">
        <f t="shared" si="13"/>
        <v>196.3</v>
      </c>
      <c r="N80" s="13"/>
      <c r="O80" s="10">
        <f t="shared" si="10"/>
        <v>256.7</v>
      </c>
      <c r="P80" s="11"/>
      <c r="Q80" s="12" cm="1">
        <f t="array" ref="Q80">SkillFormula(Q$4,B80)</f>
        <v>217.44000000000003</v>
      </c>
      <c r="R80" s="11"/>
    </row>
    <row r="81" spans="1:18" x14ac:dyDescent="0.3">
      <c r="A81" s="8">
        <v>75</v>
      </c>
      <c r="B81" s="12">
        <f t="shared" si="16"/>
        <v>153</v>
      </c>
      <c r="C81" s="11"/>
      <c r="D81" s="12">
        <f t="shared" si="14"/>
        <v>750</v>
      </c>
      <c r="E81" s="11"/>
      <c r="F81" s="12">
        <f t="shared" si="15"/>
        <v>374</v>
      </c>
      <c r="G81" s="11"/>
      <c r="I81" s="12">
        <f t="shared" si="11"/>
        <v>61.2</v>
      </c>
      <c r="J81" s="10"/>
      <c r="K81" s="13">
        <f t="shared" si="12"/>
        <v>15.3</v>
      </c>
      <c r="L81" s="13"/>
      <c r="M81" s="13">
        <f t="shared" si="13"/>
        <v>198.9</v>
      </c>
      <c r="N81" s="13"/>
      <c r="O81" s="10">
        <f t="shared" si="10"/>
        <v>260.09999999999997</v>
      </c>
      <c r="P81" s="11"/>
      <c r="Q81" s="12" cm="1">
        <f t="array" ref="Q81">SkillFormula(Q$4,B81)</f>
        <v>220.32</v>
      </c>
      <c r="R81" s="11"/>
    </row>
    <row r="82" spans="1:18" x14ac:dyDescent="0.3">
      <c r="A82" s="8">
        <v>76</v>
      </c>
      <c r="B82" s="12">
        <f t="shared" si="16"/>
        <v>155</v>
      </c>
      <c r="C82" s="11"/>
      <c r="D82" s="12">
        <f t="shared" si="14"/>
        <v>760</v>
      </c>
      <c r="E82" s="11"/>
      <c r="F82" s="12">
        <f t="shared" si="15"/>
        <v>379</v>
      </c>
      <c r="G82" s="11"/>
      <c r="I82" s="12">
        <f t="shared" si="11"/>
        <v>62</v>
      </c>
      <c r="J82" s="10"/>
      <c r="K82" s="13">
        <f t="shared" si="12"/>
        <v>15.5</v>
      </c>
      <c r="L82" s="13"/>
      <c r="M82" s="13">
        <f t="shared" si="13"/>
        <v>201.5</v>
      </c>
      <c r="N82" s="13"/>
      <c r="O82" s="10">
        <f t="shared" si="10"/>
        <v>263.5</v>
      </c>
      <c r="P82" s="11"/>
      <c r="Q82" s="12" cm="1">
        <f t="array" ref="Q82">SkillFormula(Q$4,B82)</f>
        <v>223.20000000000002</v>
      </c>
      <c r="R82" s="11"/>
    </row>
    <row r="83" spans="1:18" x14ac:dyDescent="0.3">
      <c r="A83" s="8">
        <v>77</v>
      </c>
      <c r="B83" s="12">
        <f t="shared" si="16"/>
        <v>157</v>
      </c>
      <c r="C83" s="11"/>
      <c r="D83" s="12">
        <f t="shared" si="14"/>
        <v>770</v>
      </c>
      <c r="E83" s="11"/>
      <c r="F83" s="12">
        <f t="shared" si="15"/>
        <v>384</v>
      </c>
      <c r="G83" s="11"/>
      <c r="I83" s="12">
        <f t="shared" si="11"/>
        <v>62.800000000000004</v>
      </c>
      <c r="J83" s="10"/>
      <c r="K83" s="13">
        <f t="shared" si="12"/>
        <v>15.700000000000001</v>
      </c>
      <c r="L83" s="13"/>
      <c r="M83" s="13">
        <f t="shared" si="13"/>
        <v>204.1</v>
      </c>
      <c r="N83" s="13"/>
      <c r="O83" s="10">
        <f t="shared" si="10"/>
        <v>266.89999999999998</v>
      </c>
      <c r="P83" s="11"/>
      <c r="Q83" s="12" cm="1">
        <f t="array" ref="Q83">SkillFormula(Q$4,B83)</f>
        <v>226.08000000000004</v>
      </c>
      <c r="R83" s="11"/>
    </row>
    <row r="84" spans="1:18" x14ac:dyDescent="0.3">
      <c r="A84" s="8">
        <v>78</v>
      </c>
      <c r="B84" s="12">
        <f t="shared" si="16"/>
        <v>159</v>
      </c>
      <c r="C84" s="11"/>
      <c r="D84" s="12">
        <f t="shared" si="14"/>
        <v>780</v>
      </c>
      <c r="E84" s="11"/>
      <c r="F84" s="12">
        <f t="shared" si="15"/>
        <v>389</v>
      </c>
      <c r="G84" s="11"/>
      <c r="I84" s="12">
        <f t="shared" si="11"/>
        <v>63.6</v>
      </c>
      <c r="J84" s="10"/>
      <c r="K84" s="13">
        <f t="shared" si="12"/>
        <v>15.9</v>
      </c>
      <c r="L84" s="13"/>
      <c r="M84" s="13">
        <f t="shared" si="13"/>
        <v>206.70000000000002</v>
      </c>
      <c r="N84" s="13"/>
      <c r="O84" s="10">
        <f t="shared" si="10"/>
        <v>270.3</v>
      </c>
      <c r="P84" s="11"/>
      <c r="Q84" s="12" cm="1">
        <f t="array" ref="Q84">SkillFormula(Q$4,B84)</f>
        <v>228.96</v>
      </c>
      <c r="R84" s="11"/>
    </row>
    <row r="85" spans="1:18" x14ac:dyDescent="0.3">
      <c r="A85" s="8">
        <v>79</v>
      </c>
      <c r="B85" s="12">
        <f t="shared" si="16"/>
        <v>161</v>
      </c>
      <c r="C85" s="11"/>
      <c r="D85" s="12">
        <f t="shared" si="14"/>
        <v>790</v>
      </c>
      <c r="E85" s="11"/>
      <c r="F85" s="12">
        <f t="shared" si="15"/>
        <v>394</v>
      </c>
      <c r="G85" s="11"/>
      <c r="I85" s="12">
        <f t="shared" si="11"/>
        <v>64.400000000000006</v>
      </c>
      <c r="J85" s="10"/>
      <c r="K85" s="13">
        <f t="shared" si="12"/>
        <v>16.100000000000001</v>
      </c>
      <c r="L85" s="13"/>
      <c r="M85" s="13">
        <f t="shared" si="13"/>
        <v>209.3</v>
      </c>
      <c r="N85" s="13"/>
      <c r="O85" s="10">
        <f t="shared" si="10"/>
        <v>273.7</v>
      </c>
      <c r="P85" s="11"/>
      <c r="Q85" s="12" cm="1">
        <f t="array" ref="Q85">SkillFormula(Q$4,B85)</f>
        <v>231.84000000000003</v>
      </c>
      <c r="R85" s="11"/>
    </row>
    <row r="86" spans="1:18" x14ac:dyDescent="0.3">
      <c r="A86" s="8">
        <v>80</v>
      </c>
      <c r="B86" s="12">
        <f t="shared" si="16"/>
        <v>163</v>
      </c>
      <c r="C86" s="11"/>
      <c r="D86" s="12">
        <f t="shared" si="14"/>
        <v>800</v>
      </c>
      <c r="E86" s="11"/>
      <c r="F86" s="12">
        <f t="shared" si="15"/>
        <v>399</v>
      </c>
      <c r="G86" s="11"/>
      <c r="I86" s="12">
        <f t="shared" si="11"/>
        <v>65.2</v>
      </c>
      <c r="J86" s="10"/>
      <c r="K86" s="13">
        <f t="shared" si="12"/>
        <v>16.3</v>
      </c>
      <c r="L86" s="13"/>
      <c r="M86" s="13">
        <f t="shared" si="13"/>
        <v>211.9</v>
      </c>
      <c r="N86" s="13"/>
      <c r="O86" s="10">
        <f t="shared" si="10"/>
        <v>277.09999999999997</v>
      </c>
      <c r="P86" s="11"/>
      <c r="Q86" s="12" cm="1">
        <f t="array" ref="Q86">SkillFormula(Q$4,B86)</f>
        <v>234.72</v>
      </c>
      <c r="R86" s="11"/>
    </row>
    <row r="87" spans="1:18" x14ac:dyDescent="0.3">
      <c r="A87" s="8">
        <v>81</v>
      </c>
      <c r="B87" s="12">
        <f t="shared" si="16"/>
        <v>165</v>
      </c>
      <c r="C87" s="11"/>
      <c r="D87" s="12">
        <f t="shared" si="14"/>
        <v>810</v>
      </c>
      <c r="E87" s="11"/>
      <c r="F87" s="12">
        <f t="shared" si="15"/>
        <v>404</v>
      </c>
      <c r="G87" s="11"/>
      <c r="I87" s="12">
        <f t="shared" si="11"/>
        <v>66</v>
      </c>
      <c r="J87" s="10"/>
      <c r="K87" s="13">
        <f t="shared" si="12"/>
        <v>16.5</v>
      </c>
      <c r="L87" s="13"/>
      <c r="M87" s="13">
        <f t="shared" si="13"/>
        <v>214.5</v>
      </c>
      <c r="N87" s="13"/>
      <c r="O87" s="10">
        <f t="shared" si="10"/>
        <v>280.5</v>
      </c>
      <c r="P87" s="11"/>
      <c r="Q87" s="12" cm="1">
        <f t="array" ref="Q87">SkillFormula(Q$4,B87)</f>
        <v>237.60000000000002</v>
      </c>
      <c r="R87" s="11"/>
    </row>
    <row r="88" spans="1:18" x14ac:dyDescent="0.3">
      <c r="A88" s="8">
        <v>82</v>
      </c>
      <c r="B88" s="12">
        <f t="shared" si="16"/>
        <v>167</v>
      </c>
      <c r="C88" s="11"/>
      <c r="D88" s="12">
        <f t="shared" si="14"/>
        <v>820</v>
      </c>
      <c r="E88" s="11"/>
      <c r="F88" s="12">
        <f t="shared" si="15"/>
        <v>409</v>
      </c>
      <c r="G88" s="11"/>
      <c r="I88" s="12">
        <f t="shared" si="11"/>
        <v>66.8</v>
      </c>
      <c r="J88" s="10"/>
      <c r="K88" s="13">
        <f t="shared" si="12"/>
        <v>16.7</v>
      </c>
      <c r="L88" s="13"/>
      <c r="M88" s="13">
        <f t="shared" si="13"/>
        <v>217.1</v>
      </c>
      <c r="N88" s="13"/>
      <c r="O88" s="10">
        <f t="shared" si="10"/>
        <v>283.89999999999998</v>
      </c>
      <c r="P88" s="11"/>
      <c r="Q88" s="12" cm="1">
        <f t="array" ref="Q88">SkillFormula(Q$4,B88)</f>
        <v>240.48000000000002</v>
      </c>
      <c r="R88" s="11"/>
    </row>
    <row r="89" spans="1:18" x14ac:dyDescent="0.3">
      <c r="A89" s="8">
        <v>83</v>
      </c>
      <c r="B89" s="12">
        <f t="shared" si="16"/>
        <v>169</v>
      </c>
      <c r="C89" s="11"/>
      <c r="D89" s="12">
        <f t="shared" si="14"/>
        <v>830</v>
      </c>
      <c r="E89" s="11"/>
      <c r="F89" s="12">
        <f t="shared" si="15"/>
        <v>414</v>
      </c>
      <c r="G89" s="11"/>
      <c r="I89" s="12">
        <f t="shared" si="11"/>
        <v>67.600000000000009</v>
      </c>
      <c r="J89" s="10"/>
      <c r="K89" s="13">
        <f t="shared" si="12"/>
        <v>16.900000000000002</v>
      </c>
      <c r="L89" s="13"/>
      <c r="M89" s="13">
        <f t="shared" si="13"/>
        <v>219.70000000000002</v>
      </c>
      <c r="N89" s="13"/>
      <c r="O89" s="10">
        <f t="shared" si="10"/>
        <v>287.3</v>
      </c>
      <c r="P89" s="11"/>
      <c r="Q89" s="12" cm="1">
        <f t="array" ref="Q89">SkillFormula(Q$4,B89)</f>
        <v>243.36</v>
      </c>
      <c r="R89" s="11"/>
    </row>
    <row r="90" spans="1:18" x14ac:dyDescent="0.3">
      <c r="A90" s="8">
        <v>84</v>
      </c>
      <c r="B90" s="12">
        <f t="shared" si="16"/>
        <v>171</v>
      </c>
      <c r="C90" s="11"/>
      <c r="D90" s="12">
        <f t="shared" si="14"/>
        <v>840</v>
      </c>
      <c r="E90" s="11"/>
      <c r="F90" s="12">
        <f t="shared" si="15"/>
        <v>419</v>
      </c>
      <c r="G90" s="11"/>
      <c r="I90" s="12">
        <f t="shared" si="11"/>
        <v>68.400000000000006</v>
      </c>
      <c r="J90" s="10"/>
      <c r="K90" s="13">
        <f t="shared" si="12"/>
        <v>17.100000000000001</v>
      </c>
      <c r="L90" s="13"/>
      <c r="M90" s="13">
        <f t="shared" si="13"/>
        <v>222.3</v>
      </c>
      <c r="N90" s="13"/>
      <c r="O90" s="10">
        <f t="shared" si="10"/>
        <v>290.7</v>
      </c>
      <c r="P90" s="11"/>
      <c r="Q90" s="12" cm="1">
        <f t="array" ref="Q90">SkillFormula(Q$4,B90)</f>
        <v>246.24</v>
      </c>
      <c r="R90" s="11"/>
    </row>
    <row r="91" spans="1:18" x14ac:dyDescent="0.3">
      <c r="A91" s="8">
        <v>85</v>
      </c>
      <c r="B91" s="12">
        <f t="shared" si="16"/>
        <v>173</v>
      </c>
      <c r="C91" s="11"/>
      <c r="D91" s="12">
        <f t="shared" si="14"/>
        <v>850</v>
      </c>
      <c r="E91" s="11"/>
      <c r="F91" s="12">
        <f t="shared" si="15"/>
        <v>424</v>
      </c>
      <c r="G91" s="11"/>
      <c r="I91" s="12">
        <f t="shared" si="11"/>
        <v>69.2</v>
      </c>
      <c r="J91" s="10"/>
      <c r="K91" s="13">
        <f t="shared" si="12"/>
        <v>17.3</v>
      </c>
      <c r="L91" s="13"/>
      <c r="M91" s="13">
        <f t="shared" si="13"/>
        <v>224.9</v>
      </c>
      <c r="N91" s="13"/>
      <c r="O91" s="10">
        <f t="shared" si="10"/>
        <v>294.09999999999997</v>
      </c>
      <c r="P91" s="11"/>
      <c r="Q91" s="12" cm="1">
        <f t="array" ref="Q91">SkillFormula(Q$4,B91)</f>
        <v>249.12</v>
      </c>
      <c r="R91" s="11"/>
    </row>
    <row r="92" spans="1:18" x14ac:dyDescent="0.3">
      <c r="A92" s="8">
        <v>86</v>
      </c>
      <c r="B92" s="12">
        <f t="shared" si="16"/>
        <v>175</v>
      </c>
      <c r="C92" s="11"/>
      <c r="D92" s="12">
        <f t="shared" si="14"/>
        <v>860</v>
      </c>
      <c r="E92" s="11"/>
      <c r="F92" s="12">
        <f t="shared" si="15"/>
        <v>429</v>
      </c>
      <c r="G92" s="11"/>
      <c r="I92" s="12">
        <f t="shared" si="11"/>
        <v>70</v>
      </c>
      <c r="J92" s="10"/>
      <c r="K92" s="13">
        <f t="shared" si="12"/>
        <v>17.5</v>
      </c>
      <c r="L92" s="13"/>
      <c r="M92" s="13">
        <f t="shared" si="13"/>
        <v>227.5</v>
      </c>
      <c r="N92" s="13"/>
      <c r="O92" s="10">
        <f t="shared" si="10"/>
        <v>297.5</v>
      </c>
      <c r="P92" s="11"/>
      <c r="Q92" s="12" cm="1">
        <f t="array" ref="Q92">SkillFormula(Q$4,B92)</f>
        <v>252</v>
      </c>
      <c r="R92" s="11"/>
    </row>
    <row r="93" spans="1:18" x14ac:dyDescent="0.3">
      <c r="A93" s="8">
        <v>87</v>
      </c>
      <c r="B93" s="12">
        <f t="shared" si="16"/>
        <v>177</v>
      </c>
      <c r="C93" s="11"/>
      <c r="D93" s="12">
        <f t="shared" si="14"/>
        <v>870</v>
      </c>
      <c r="E93" s="11"/>
      <c r="F93" s="12">
        <f t="shared" si="15"/>
        <v>434</v>
      </c>
      <c r="G93" s="11"/>
      <c r="I93" s="12">
        <f t="shared" si="11"/>
        <v>70.8</v>
      </c>
      <c r="J93" s="10"/>
      <c r="K93" s="13">
        <f t="shared" si="12"/>
        <v>17.7</v>
      </c>
      <c r="L93" s="13"/>
      <c r="M93" s="13">
        <f t="shared" si="13"/>
        <v>230.1</v>
      </c>
      <c r="N93" s="13"/>
      <c r="O93" s="10">
        <f t="shared" si="10"/>
        <v>300.89999999999998</v>
      </c>
      <c r="P93" s="11"/>
      <c r="Q93" s="12" cm="1">
        <f t="array" ref="Q93">SkillFormula(Q$4,B93)</f>
        <v>254.88000000000002</v>
      </c>
      <c r="R93" s="11"/>
    </row>
    <row r="94" spans="1:18" x14ac:dyDescent="0.3">
      <c r="A94" s="8">
        <v>88</v>
      </c>
      <c r="B94" s="12">
        <f t="shared" si="16"/>
        <v>179</v>
      </c>
      <c r="C94" s="11"/>
      <c r="D94" s="12">
        <f t="shared" si="14"/>
        <v>880</v>
      </c>
      <c r="E94" s="11"/>
      <c r="F94" s="12">
        <f t="shared" si="15"/>
        <v>439</v>
      </c>
      <c r="G94" s="11"/>
      <c r="I94" s="12">
        <f t="shared" si="11"/>
        <v>71.600000000000009</v>
      </c>
      <c r="J94" s="10"/>
      <c r="K94" s="13">
        <f t="shared" si="12"/>
        <v>17.900000000000002</v>
      </c>
      <c r="L94" s="13"/>
      <c r="M94" s="13">
        <f t="shared" si="13"/>
        <v>232.70000000000002</v>
      </c>
      <c r="N94" s="13"/>
      <c r="O94" s="10">
        <f t="shared" si="10"/>
        <v>304.3</v>
      </c>
      <c r="P94" s="11"/>
      <c r="Q94" s="12" cm="1">
        <f t="array" ref="Q94">SkillFormula(Q$4,B94)</f>
        <v>257.76</v>
      </c>
      <c r="R94" s="11"/>
    </row>
    <row r="95" spans="1:18" x14ac:dyDescent="0.3">
      <c r="A95" s="8">
        <v>89</v>
      </c>
      <c r="B95" s="12">
        <f t="shared" si="16"/>
        <v>181</v>
      </c>
      <c r="C95" s="11"/>
      <c r="D95" s="12">
        <f t="shared" si="14"/>
        <v>890</v>
      </c>
      <c r="E95" s="11"/>
      <c r="F95" s="12">
        <f t="shared" si="15"/>
        <v>444</v>
      </c>
      <c r="G95" s="11"/>
      <c r="I95" s="12">
        <f t="shared" si="11"/>
        <v>72.400000000000006</v>
      </c>
      <c r="J95" s="10"/>
      <c r="K95" s="13">
        <f t="shared" si="12"/>
        <v>18.100000000000001</v>
      </c>
      <c r="L95" s="13"/>
      <c r="M95" s="13">
        <f t="shared" si="13"/>
        <v>235.3</v>
      </c>
      <c r="N95" s="13"/>
      <c r="O95" s="10">
        <f t="shared" si="10"/>
        <v>307.7</v>
      </c>
      <c r="P95" s="11"/>
      <c r="Q95" s="12" cm="1">
        <f t="array" ref="Q95">SkillFormula(Q$4,B95)</f>
        <v>260.64000000000004</v>
      </c>
      <c r="R95" s="11"/>
    </row>
    <row r="96" spans="1:18" x14ac:dyDescent="0.3">
      <c r="A96" s="8">
        <v>90</v>
      </c>
      <c r="B96" s="12">
        <f t="shared" si="16"/>
        <v>183</v>
      </c>
      <c r="C96" s="11"/>
      <c r="D96" s="12">
        <f t="shared" si="14"/>
        <v>900</v>
      </c>
      <c r="E96" s="11"/>
      <c r="F96" s="12">
        <f t="shared" si="15"/>
        <v>449</v>
      </c>
      <c r="G96" s="11"/>
      <c r="I96" s="12">
        <f t="shared" si="11"/>
        <v>73.2</v>
      </c>
      <c r="J96" s="10"/>
      <c r="K96" s="13">
        <f t="shared" si="12"/>
        <v>18.3</v>
      </c>
      <c r="L96" s="13"/>
      <c r="M96" s="13">
        <f t="shared" si="13"/>
        <v>237.9</v>
      </c>
      <c r="N96" s="13"/>
      <c r="O96" s="10">
        <f t="shared" ref="O96:O99" si="17" xml:space="preserve"> B96 * 1.7</f>
        <v>311.09999999999997</v>
      </c>
      <c r="P96" s="11"/>
      <c r="Q96" s="12" cm="1">
        <f t="array" ref="Q96">SkillFormula(Q$4,B96)</f>
        <v>263.52</v>
      </c>
      <c r="R96" s="11"/>
    </row>
    <row r="97" spans="1:18" x14ac:dyDescent="0.3">
      <c r="A97" s="8">
        <v>91</v>
      </c>
      <c r="B97" s="12">
        <f t="shared" si="16"/>
        <v>185</v>
      </c>
      <c r="C97" s="11"/>
      <c r="D97" s="12">
        <f t="shared" si="14"/>
        <v>910</v>
      </c>
      <c r="E97" s="11"/>
      <c r="F97" s="12">
        <f t="shared" si="15"/>
        <v>454</v>
      </c>
      <c r="G97" s="11"/>
      <c r="I97" s="12">
        <f t="shared" si="11"/>
        <v>74</v>
      </c>
      <c r="J97" s="10"/>
      <c r="K97" s="13">
        <f t="shared" si="12"/>
        <v>18.5</v>
      </c>
      <c r="L97" s="13"/>
      <c r="M97" s="13">
        <f t="shared" si="13"/>
        <v>240.5</v>
      </c>
      <c r="N97" s="13"/>
      <c r="O97" s="10">
        <f t="shared" si="17"/>
        <v>314.5</v>
      </c>
      <c r="P97" s="11"/>
      <c r="Q97" s="12" cm="1">
        <f t="array" ref="Q97">SkillFormula(Q$4,B97)</f>
        <v>266.40000000000003</v>
      </c>
      <c r="R97" s="11"/>
    </row>
    <row r="98" spans="1:18" x14ac:dyDescent="0.3">
      <c r="A98" s="8">
        <v>92</v>
      </c>
      <c r="B98" s="12">
        <f t="shared" si="16"/>
        <v>187</v>
      </c>
      <c r="C98" s="11"/>
      <c r="D98" s="12">
        <f t="shared" si="14"/>
        <v>920</v>
      </c>
      <c r="E98" s="11"/>
      <c r="F98" s="12">
        <f t="shared" si="15"/>
        <v>459</v>
      </c>
      <c r="G98" s="11"/>
      <c r="I98" s="12">
        <f t="shared" si="11"/>
        <v>74.8</v>
      </c>
      <c r="J98" s="10"/>
      <c r="K98" s="13">
        <f t="shared" si="12"/>
        <v>18.7</v>
      </c>
      <c r="L98" s="13"/>
      <c r="M98" s="13">
        <f t="shared" si="13"/>
        <v>243.1</v>
      </c>
      <c r="N98" s="13"/>
      <c r="O98" s="10">
        <f t="shared" si="17"/>
        <v>317.89999999999998</v>
      </c>
      <c r="P98" s="11"/>
      <c r="Q98" s="12" cm="1">
        <f t="array" ref="Q98">SkillFormula(Q$4,B98)</f>
        <v>269.28000000000003</v>
      </c>
      <c r="R98" s="11"/>
    </row>
    <row r="99" spans="1:18" x14ac:dyDescent="0.3">
      <c r="A99" s="8">
        <v>93</v>
      </c>
      <c r="B99" s="12">
        <f t="shared" si="16"/>
        <v>189</v>
      </c>
      <c r="C99" s="11"/>
      <c r="D99" s="12">
        <f t="shared" si="14"/>
        <v>930</v>
      </c>
      <c r="E99" s="11"/>
      <c r="F99" s="12">
        <f t="shared" si="15"/>
        <v>464</v>
      </c>
      <c r="G99" s="11"/>
      <c r="I99" s="12">
        <f t="shared" si="11"/>
        <v>75.600000000000009</v>
      </c>
      <c r="J99" s="10"/>
      <c r="K99" s="13">
        <f t="shared" si="12"/>
        <v>18.900000000000002</v>
      </c>
      <c r="L99" s="13"/>
      <c r="M99" s="13">
        <f t="shared" si="13"/>
        <v>245.70000000000002</v>
      </c>
      <c r="N99" s="13"/>
      <c r="O99" s="10">
        <f t="shared" si="17"/>
        <v>321.3</v>
      </c>
      <c r="P99" s="11"/>
      <c r="Q99" s="12" cm="1">
        <f t="array" ref="Q99">SkillFormula(Q$4,B99)</f>
        <v>272.16000000000003</v>
      </c>
      <c r="R99" s="11"/>
    </row>
  </sheetData>
  <mergeCells count="796">
    <mergeCell ref="F97:G97"/>
    <mergeCell ref="F98:G98"/>
    <mergeCell ref="F99:G99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79:G79"/>
    <mergeCell ref="F80:G80"/>
    <mergeCell ref="F81:G81"/>
    <mergeCell ref="F82:G82"/>
    <mergeCell ref="F83:G83"/>
    <mergeCell ref="F84:G84"/>
    <mergeCell ref="F85:G85"/>
    <mergeCell ref="F86:G86"/>
    <mergeCell ref="F87:G87"/>
    <mergeCell ref="F70:G70"/>
    <mergeCell ref="F71:G71"/>
    <mergeCell ref="F72:G72"/>
    <mergeCell ref="F73:G73"/>
    <mergeCell ref="F74:G74"/>
    <mergeCell ref="F75:G75"/>
    <mergeCell ref="F76:G76"/>
    <mergeCell ref="F77:G77"/>
    <mergeCell ref="F78:G78"/>
    <mergeCell ref="F61:G61"/>
    <mergeCell ref="F62:G62"/>
    <mergeCell ref="F63:G63"/>
    <mergeCell ref="F64:G64"/>
    <mergeCell ref="F65:G65"/>
    <mergeCell ref="F66:G66"/>
    <mergeCell ref="F67:G67"/>
    <mergeCell ref="F68:G68"/>
    <mergeCell ref="F69:G69"/>
    <mergeCell ref="D99:E99"/>
    <mergeCell ref="F38:G38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49:G49"/>
    <mergeCell ref="F50:G50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D90:E90"/>
    <mergeCell ref="D91:E91"/>
    <mergeCell ref="D92:E92"/>
    <mergeCell ref="D93:E93"/>
    <mergeCell ref="D94:E94"/>
    <mergeCell ref="D95:E95"/>
    <mergeCell ref="D96:E96"/>
    <mergeCell ref="D97:E97"/>
    <mergeCell ref="D98:E98"/>
    <mergeCell ref="D81:E81"/>
    <mergeCell ref="D82:E82"/>
    <mergeCell ref="D83:E83"/>
    <mergeCell ref="D84:E84"/>
    <mergeCell ref="D85:E85"/>
    <mergeCell ref="D86:E86"/>
    <mergeCell ref="D87:E87"/>
    <mergeCell ref="D88:E88"/>
    <mergeCell ref="D89:E89"/>
    <mergeCell ref="D72:E72"/>
    <mergeCell ref="D73:E73"/>
    <mergeCell ref="D74:E74"/>
    <mergeCell ref="D75:E75"/>
    <mergeCell ref="D76:E76"/>
    <mergeCell ref="D77:E77"/>
    <mergeCell ref="D78:E78"/>
    <mergeCell ref="D79:E79"/>
    <mergeCell ref="D80:E80"/>
    <mergeCell ref="D63:E63"/>
    <mergeCell ref="D64:E64"/>
    <mergeCell ref="D65:E65"/>
    <mergeCell ref="D66:E66"/>
    <mergeCell ref="D67:E67"/>
    <mergeCell ref="D68:E68"/>
    <mergeCell ref="D69:E69"/>
    <mergeCell ref="D70:E70"/>
    <mergeCell ref="D71:E71"/>
    <mergeCell ref="D54:E54"/>
    <mergeCell ref="D55:E55"/>
    <mergeCell ref="D56:E56"/>
    <mergeCell ref="D57:E57"/>
    <mergeCell ref="D58:E58"/>
    <mergeCell ref="D59:E59"/>
    <mergeCell ref="D60:E60"/>
    <mergeCell ref="D61:E61"/>
    <mergeCell ref="D62:E62"/>
    <mergeCell ref="B92:C92"/>
    <mergeCell ref="B93:C93"/>
    <mergeCell ref="B94:C94"/>
    <mergeCell ref="B95:C95"/>
    <mergeCell ref="B96:C96"/>
    <mergeCell ref="B97:C97"/>
    <mergeCell ref="B98:C98"/>
    <mergeCell ref="B99:C9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B83:C83"/>
    <mergeCell ref="B84:C84"/>
    <mergeCell ref="B85:C85"/>
    <mergeCell ref="B86:C86"/>
    <mergeCell ref="B87:C87"/>
    <mergeCell ref="B88:C88"/>
    <mergeCell ref="B89:C89"/>
    <mergeCell ref="B90:C90"/>
    <mergeCell ref="B91:C91"/>
    <mergeCell ref="B74:C74"/>
    <mergeCell ref="B75:C75"/>
    <mergeCell ref="B76:C76"/>
    <mergeCell ref="B77:C77"/>
    <mergeCell ref="B78:C78"/>
    <mergeCell ref="B79:C79"/>
    <mergeCell ref="B80:C80"/>
    <mergeCell ref="B81:C81"/>
    <mergeCell ref="B82:C82"/>
    <mergeCell ref="B65:C65"/>
    <mergeCell ref="B66:C66"/>
    <mergeCell ref="B67:C67"/>
    <mergeCell ref="B68:C68"/>
    <mergeCell ref="B69:C69"/>
    <mergeCell ref="B70:C70"/>
    <mergeCell ref="B71:C71"/>
    <mergeCell ref="B72:C72"/>
    <mergeCell ref="B73:C73"/>
    <mergeCell ref="B56:C56"/>
    <mergeCell ref="B57:C57"/>
    <mergeCell ref="B58:C58"/>
    <mergeCell ref="B59:C59"/>
    <mergeCell ref="B60:C60"/>
    <mergeCell ref="B61:C61"/>
    <mergeCell ref="B62:C62"/>
    <mergeCell ref="B63:C63"/>
    <mergeCell ref="B64:C64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38:C38"/>
    <mergeCell ref="B39:C39"/>
    <mergeCell ref="B40:C40"/>
    <mergeCell ref="B41:C41"/>
    <mergeCell ref="B42:C42"/>
    <mergeCell ref="B43:C43"/>
    <mergeCell ref="B44:C44"/>
    <mergeCell ref="B45:C45"/>
    <mergeCell ref="B46:C46"/>
    <mergeCell ref="B4:F5"/>
    <mergeCell ref="Q37:R37"/>
    <mergeCell ref="Q31:R31"/>
    <mergeCell ref="Q32:R32"/>
    <mergeCell ref="Q33:R33"/>
    <mergeCell ref="Q34:R34"/>
    <mergeCell ref="Q35:R35"/>
    <mergeCell ref="Q36:R36"/>
    <mergeCell ref="Q25:R25"/>
    <mergeCell ref="Q26:R26"/>
    <mergeCell ref="Q27:R27"/>
    <mergeCell ref="Q28:R28"/>
    <mergeCell ref="Q29:R29"/>
    <mergeCell ref="Q30:R30"/>
    <mergeCell ref="Q19:R19"/>
    <mergeCell ref="Q20:R20"/>
    <mergeCell ref="Q21:R21"/>
    <mergeCell ref="Q22:R22"/>
    <mergeCell ref="Q23:R23"/>
    <mergeCell ref="Q24:R24"/>
    <mergeCell ref="Q13:R13"/>
    <mergeCell ref="Q14:R14"/>
    <mergeCell ref="Q15:R15"/>
    <mergeCell ref="Q16:R16"/>
    <mergeCell ref="Q17:R17"/>
    <mergeCell ref="Q18:R18"/>
    <mergeCell ref="O37:P37"/>
    <mergeCell ref="Q3:R3"/>
    <mergeCell ref="Q4:R5"/>
    <mergeCell ref="Q7:R7"/>
    <mergeCell ref="Q8:R8"/>
    <mergeCell ref="Q9:R9"/>
    <mergeCell ref="Q10:R10"/>
    <mergeCell ref="Q11:R11"/>
    <mergeCell ref="Q12:R12"/>
    <mergeCell ref="O31:P31"/>
    <mergeCell ref="O32:P32"/>
    <mergeCell ref="O33:P33"/>
    <mergeCell ref="O34:P34"/>
    <mergeCell ref="O35:P35"/>
    <mergeCell ref="O36:P36"/>
    <mergeCell ref="O25:P25"/>
    <mergeCell ref="O26:P26"/>
    <mergeCell ref="O27:P27"/>
    <mergeCell ref="O28:P28"/>
    <mergeCell ref="O29:P29"/>
    <mergeCell ref="O30:P30"/>
    <mergeCell ref="O19:P19"/>
    <mergeCell ref="O20:P20"/>
    <mergeCell ref="O21:P21"/>
    <mergeCell ref="O22:P22"/>
    <mergeCell ref="O23:P23"/>
    <mergeCell ref="O24:P24"/>
    <mergeCell ref="O13:P13"/>
    <mergeCell ref="O14:P14"/>
    <mergeCell ref="O15:P15"/>
    <mergeCell ref="O16:P16"/>
    <mergeCell ref="O17:P17"/>
    <mergeCell ref="O18:P18"/>
    <mergeCell ref="M33:N33"/>
    <mergeCell ref="M34:N34"/>
    <mergeCell ref="M35:N35"/>
    <mergeCell ref="M36:N36"/>
    <mergeCell ref="M37:N37"/>
    <mergeCell ref="O8:P8"/>
    <mergeCell ref="O9:P9"/>
    <mergeCell ref="O10:P10"/>
    <mergeCell ref="O11:P11"/>
    <mergeCell ref="O12:P12"/>
    <mergeCell ref="M27:N27"/>
    <mergeCell ref="M28:N28"/>
    <mergeCell ref="M29:N29"/>
    <mergeCell ref="M30:N30"/>
    <mergeCell ref="M31:N31"/>
    <mergeCell ref="M32:N32"/>
    <mergeCell ref="M21:N21"/>
    <mergeCell ref="M22:N22"/>
    <mergeCell ref="M23:N23"/>
    <mergeCell ref="M24:N24"/>
    <mergeCell ref="M25:N25"/>
    <mergeCell ref="M26:N26"/>
    <mergeCell ref="M15:N15"/>
    <mergeCell ref="M16:N16"/>
    <mergeCell ref="M17:N17"/>
    <mergeCell ref="M18:N18"/>
    <mergeCell ref="M19:N19"/>
    <mergeCell ref="M20:N20"/>
    <mergeCell ref="K35:L35"/>
    <mergeCell ref="K36:L36"/>
    <mergeCell ref="K37:L37"/>
    <mergeCell ref="M8:N8"/>
    <mergeCell ref="M9:N9"/>
    <mergeCell ref="M10:N10"/>
    <mergeCell ref="M11:N11"/>
    <mergeCell ref="M12:N12"/>
    <mergeCell ref="M13:N13"/>
    <mergeCell ref="M14:N14"/>
    <mergeCell ref="K29:L29"/>
    <mergeCell ref="K30:L30"/>
    <mergeCell ref="K31:L31"/>
    <mergeCell ref="K32:L32"/>
    <mergeCell ref="K33:L33"/>
    <mergeCell ref="K34:L34"/>
    <mergeCell ref="K23:L23"/>
    <mergeCell ref="K24:L24"/>
    <mergeCell ref="K25:L25"/>
    <mergeCell ref="K26:L26"/>
    <mergeCell ref="I37:J37"/>
    <mergeCell ref="I31:J31"/>
    <mergeCell ref="I32:J32"/>
    <mergeCell ref="I33:J33"/>
    <mergeCell ref="I34:J34"/>
    <mergeCell ref="I35:J35"/>
    <mergeCell ref="I36:J36"/>
    <mergeCell ref="I25:J25"/>
    <mergeCell ref="I26:J26"/>
    <mergeCell ref="I27:J27"/>
    <mergeCell ref="I28:J28"/>
    <mergeCell ref="I29:J29"/>
    <mergeCell ref="I30:J30"/>
    <mergeCell ref="K13:L13"/>
    <mergeCell ref="K14:L14"/>
    <mergeCell ref="K15:L15"/>
    <mergeCell ref="K16:L16"/>
    <mergeCell ref="K27:L27"/>
    <mergeCell ref="K28:L28"/>
    <mergeCell ref="K17:L17"/>
    <mergeCell ref="K18:L18"/>
    <mergeCell ref="K19:L19"/>
    <mergeCell ref="K20:L20"/>
    <mergeCell ref="K21:L21"/>
    <mergeCell ref="K22:L22"/>
    <mergeCell ref="I22:J22"/>
    <mergeCell ref="I23:J23"/>
    <mergeCell ref="I24:J24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10:J10"/>
    <mergeCell ref="I11:J11"/>
    <mergeCell ref="I12:J12"/>
    <mergeCell ref="I4:J5"/>
    <mergeCell ref="M4:N5"/>
    <mergeCell ref="K4:L5"/>
    <mergeCell ref="O4:P5"/>
    <mergeCell ref="I7:J7"/>
    <mergeCell ref="K7:L7"/>
    <mergeCell ref="M7:N7"/>
    <mergeCell ref="K8:L8"/>
    <mergeCell ref="K9:L9"/>
    <mergeCell ref="K10:L10"/>
    <mergeCell ref="K11:L11"/>
    <mergeCell ref="K12:L12"/>
    <mergeCell ref="B34:C34"/>
    <mergeCell ref="D34:E34"/>
    <mergeCell ref="F34:G34"/>
    <mergeCell ref="B33:C33"/>
    <mergeCell ref="D33:E33"/>
    <mergeCell ref="F33:G33"/>
    <mergeCell ref="B32:C32"/>
    <mergeCell ref="D32:E32"/>
    <mergeCell ref="F32:G32"/>
    <mergeCell ref="B37:C37"/>
    <mergeCell ref="D37:E37"/>
    <mergeCell ref="F37:G37"/>
    <mergeCell ref="B36:C36"/>
    <mergeCell ref="D36:E36"/>
    <mergeCell ref="F36:G36"/>
    <mergeCell ref="B35:C35"/>
    <mergeCell ref="D35:E35"/>
    <mergeCell ref="F35:G35"/>
    <mergeCell ref="D31:E31"/>
    <mergeCell ref="F31:G31"/>
    <mergeCell ref="B30:C30"/>
    <mergeCell ref="D30:E30"/>
    <mergeCell ref="F30:G30"/>
    <mergeCell ref="B29:C29"/>
    <mergeCell ref="D29:E29"/>
    <mergeCell ref="F29:G29"/>
    <mergeCell ref="B28:C28"/>
    <mergeCell ref="D28:E28"/>
    <mergeCell ref="F28:G28"/>
    <mergeCell ref="B31:C31"/>
    <mergeCell ref="B27:C27"/>
    <mergeCell ref="D27:E27"/>
    <mergeCell ref="F27:G27"/>
    <mergeCell ref="B26:C26"/>
    <mergeCell ref="D26:E26"/>
    <mergeCell ref="F26:G26"/>
    <mergeCell ref="B25:C25"/>
    <mergeCell ref="D25:E25"/>
    <mergeCell ref="F25:G25"/>
    <mergeCell ref="B24:C24"/>
    <mergeCell ref="D24:E24"/>
    <mergeCell ref="F24:G24"/>
    <mergeCell ref="B23:C23"/>
    <mergeCell ref="D23:E23"/>
    <mergeCell ref="F23:G23"/>
    <mergeCell ref="B22:C22"/>
    <mergeCell ref="D22:E22"/>
    <mergeCell ref="F22:G22"/>
    <mergeCell ref="B21:C21"/>
    <mergeCell ref="D21:E21"/>
    <mergeCell ref="F21:G21"/>
    <mergeCell ref="B20:C20"/>
    <mergeCell ref="D20:E20"/>
    <mergeCell ref="F20:G20"/>
    <mergeCell ref="B19:C19"/>
    <mergeCell ref="D19:E19"/>
    <mergeCell ref="F19:G19"/>
    <mergeCell ref="B18:C18"/>
    <mergeCell ref="D18:E18"/>
    <mergeCell ref="F18:G18"/>
    <mergeCell ref="B17:C17"/>
    <mergeCell ref="D17:E17"/>
    <mergeCell ref="F17:G17"/>
    <mergeCell ref="B16:C16"/>
    <mergeCell ref="D16:E16"/>
    <mergeCell ref="F16:G16"/>
    <mergeCell ref="B15:C15"/>
    <mergeCell ref="D15:E15"/>
    <mergeCell ref="F15:G15"/>
    <mergeCell ref="B14:C14"/>
    <mergeCell ref="D14:E14"/>
    <mergeCell ref="F14:G14"/>
    <mergeCell ref="B13:C13"/>
    <mergeCell ref="D13:E13"/>
    <mergeCell ref="F13:G13"/>
    <mergeCell ref="B12:C12"/>
    <mergeCell ref="D12:E12"/>
    <mergeCell ref="F12:G12"/>
    <mergeCell ref="B11:C11"/>
    <mergeCell ref="D11:E11"/>
    <mergeCell ref="F11:G11"/>
    <mergeCell ref="B10:C10"/>
    <mergeCell ref="D10:E10"/>
    <mergeCell ref="F10:G10"/>
    <mergeCell ref="B9:C9"/>
    <mergeCell ref="D9:E9"/>
    <mergeCell ref="F9:G9"/>
    <mergeCell ref="U7:X7"/>
    <mergeCell ref="B6:C6"/>
    <mergeCell ref="D6:E6"/>
    <mergeCell ref="F6:G6"/>
    <mergeCell ref="B1:G2"/>
    <mergeCell ref="B3:G3"/>
    <mergeCell ref="B8:C8"/>
    <mergeCell ref="D8:E8"/>
    <mergeCell ref="F8:G8"/>
    <mergeCell ref="B7:C7"/>
    <mergeCell ref="D7:E7"/>
    <mergeCell ref="F7:G7"/>
    <mergeCell ref="I3:J3"/>
    <mergeCell ref="K3:L3"/>
    <mergeCell ref="M3:N3"/>
    <mergeCell ref="O3:P3"/>
    <mergeCell ref="I6:P6"/>
    <mergeCell ref="O7:P7"/>
    <mergeCell ref="I8:J8"/>
    <mergeCell ref="I9:J9"/>
    <mergeCell ref="G4:G5"/>
    <mergeCell ref="U8:X8"/>
    <mergeCell ref="U9:X9"/>
    <mergeCell ref="U10:X10"/>
    <mergeCell ref="U11:X11"/>
    <mergeCell ref="U12:X12"/>
    <mergeCell ref="U13:X13"/>
    <mergeCell ref="U14:X14"/>
    <mergeCell ref="U15:X15"/>
    <mergeCell ref="U16:X16"/>
    <mergeCell ref="U35:X35"/>
    <mergeCell ref="U36:X36"/>
    <mergeCell ref="U37:X37"/>
    <mergeCell ref="U4:W5"/>
    <mergeCell ref="X4:X5"/>
    <mergeCell ref="U6:X6"/>
    <mergeCell ref="U26:X26"/>
    <mergeCell ref="U27:X27"/>
    <mergeCell ref="U28:X28"/>
    <mergeCell ref="U29:X29"/>
    <mergeCell ref="U30:X30"/>
    <mergeCell ref="U31:X31"/>
    <mergeCell ref="U32:X32"/>
    <mergeCell ref="U33:X33"/>
    <mergeCell ref="U34:X34"/>
    <mergeCell ref="U17:X17"/>
    <mergeCell ref="U18:X18"/>
    <mergeCell ref="U19:X19"/>
    <mergeCell ref="U20:X20"/>
    <mergeCell ref="U21:X21"/>
    <mergeCell ref="U22:X22"/>
    <mergeCell ref="U23:X23"/>
    <mergeCell ref="U24:X24"/>
    <mergeCell ref="U25:X25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K38:L38"/>
    <mergeCell ref="K39:L39"/>
    <mergeCell ref="K40:L40"/>
    <mergeCell ref="K41:L41"/>
    <mergeCell ref="K42:L42"/>
    <mergeCell ref="K43:L43"/>
    <mergeCell ref="K44:L44"/>
    <mergeCell ref="K45:L45"/>
    <mergeCell ref="K46:L46"/>
    <mergeCell ref="K47:L47"/>
    <mergeCell ref="K48:L48"/>
    <mergeCell ref="K49:L49"/>
    <mergeCell ref="K50:L50"/>
    <mergeCell ref="K51:L51"/>
    <mergeCell ref="K52:L52"/>
    <mergeCell ref="K53:L53"/>
    <mergeCell ref="K54:L54"/>
    <mergeCell ref="K55:L55"/>
    <mergeCell ref="K56:L56"/>
    <mergeCell ref="K57:L57"/>
    <mergeCell ref="K58:L58"/>
    <mergeCell ref="K59:L59"/>
    <mergeCell ref="K60:L60"/>
    <mergeCell ref="K61:L61"/>
    <mergeCell ref="K62:L62"/>
    <mergeCell ref="K63:L63"/>
    <mergeCell ref="K64:L64"/>
    <mergeCell ref="K65:L65"/>
    <mergeCell ref="K66:L66"/>
    <mergeCell ref="K67:L67"/>
    <mergeCell ref="K68:L68"/>
    <mergeCell ref="K69:L69"/>
    <mergeCell ref="K70:L70"/>
    <mergeCell ref="K71:L71"/>
    <mergeCell ref="K72:L72"/>
    <mergeCell ref="K73:L73"/>
    <mergeCell ref="K74:L74"/>
    <mergeCell ref="K75:L75"/>
    <mergeCell ref="K76:L76"/>
    <mergeCell ref="K77:L77"/>
    <mergeCell ref="K78:L78"/>
    <mergeCell ref="K79:L79"/>
    <mergeCell ref="K80:L80"/>
    <mergeCell ref="K81:L81"/>
    <mergeCell ref="K82:L82"/>
    <mergeCell ref="K83:L83"/>
    <mergeCell ref="K84:L84"/>
    <mergeCell ref="K85:L85"/>
    <mergeCell ref="K86:L86"/>
    <mergeCell ref="K87:L87"/>
    <mergeCell ref="K88:L88"/>
    <mergeCell ref="K89:L89"/>
    <mergeCell ref="K90:L90"/>
    <mergeCell ref="K91:L91"/>
    <mergeCell ref="K92:L92"/>
    <mergeCell ref="K93:L93"/>
    <mergeCell ref="K94:L94"/>
    <mergeCell ref="K95:L95"/>
    <mergeCell ref="K96:L96"/>
    <mergeCell ref="K97:L97"/>
    <mergeCell ref="K98:L98"/>
    <mergeCell ref="K99:L99"/>
    <mergeCell ref="M38:N38"/>
    <mergeCell ref="M39:N39"/>
    <mergeCell ref="M40:N40"/>
    <mergeCell ref="M41:N41"/>
    <mergeCell ref="M42:N42"/>
    <mergeCell ref="M43:N43"/>
    <mergeCell ref="M44:N44"/>
    <mergeCell ref="M45:N45"/>
    <mergeCell ref="M46:N46"/>
    <mergeCell ref="M47:N47"/>
    <mergeCell ref="M48:N48"/>
    <mergeCell ref="M49:N49"/>
    <mergeCell ref="M50:N50"/>
    <mergeCell ref="M51:N51"/>
    <mergeCell ref="M52:N52"/>
    <mergeCell ref="M53:N53"/>
    <mergeCell ref="M54:N54"/>
    <mergeCell ref="M55:N55"/>
    <mergeCell ref="M56:N56"/>
    <mergeCell ref="M57:N57"/>
    <mergeCell ref="M58:N58"/>
    <mergeCell ref="M59:N59"/>
    <mergeCell ref="M60:N60"/>
    <mergeCell ref="M61:N61"/>
    <mergeCell ref="M62:N62"/>
    <mergeCell ref="M63:N63"/>
    <mergeCell ref="M64:N64"/>
    <mergeCell ref="M65:N65"/>
    <mergeCell ref="M66:N66"/>
    <mergeCell ref="M67:N67"/>
    <mergeCell ref="M68:N68"/>
    <mergeCell ref="M69:N69"/>
    <mergeCell ref="M70:N70"/>
    <mergeCell ref="M71:N71"/>
    <mergeCell ref="M72:N72"/>
    <mergeCell ref="M73:N73"/>
    <mergeCell ref="M74:N74"/>
    <mergeCell ref="M75:N75"/>
    <mergeCell ref="M76:N76"/>
    <mergeCell ref="M77:N77"/>
    <mergeCell ref="M78:N78"/>
    <mergeCell ref="M79:N79"/>
    <mergeCell ref="M80:N80"/>
    <mergeCell ref="M81:N81"/>
    <mergeCell ref="M82:N82"/>
    <mergeCell ref="M83:N83"/>
    <mergeCell ref="M84:N84"/>
    <mergeCell ref="M85:N85"/>
    <mergeCell ref="M86:N86"/>
    <mergeCell ref="M87:N87"/>
    <mergeCell ref="M88:N88"/>
    <mergeCell ref="M89:N89"/>
    <mergeCell ref="M90:N90"/>
    <mergeCell ref="M91:N91"/>
    <mergeCell ref="M92:N92"/>
    <mergeCell ref="M93:N93"/>
    <mergeCell ref="M94:N94"/>
    <mergeCell ref="M95:N95"/>
    <mergeCell ref="M96:N96"/>
    <mergeCell ref="M97:N97"/>
    <mergeCell ref="M98:N98"/>
    <mergeCell ref="M99:N99"/>
    <mergeCell ref="Q38:R38"/>
    <mergeCell ref="Q39:R39"/>
    <mergeCell ref="Q40:R40"/>
    <mergeCell ref="Q41:R41"/>
    <mergeCell ref="Q42:R42"/>
    <mergeCell ref="Q43:R43"/>
    <mergeCell ref="Q44:R44"/>
    <mergeCell ref="Q45:R45"/>
    <mergeCell ref="Q46:R46"/>
    <mergeCell ref="Q47:R47"/>
    <mergeCell ref="Q48:R48"/>
    <mergeCell ref="Q49:R49"/>
    <mergeCell ref="Q50:R50"/>
    <mergeCell ref="Q51:R51"/>
    <mergeCell ref="Q52:R52"/>
    <mergeCell ref="Q53:R53"/>
    <mergeCell ref="Q54:R54"/>
    <mergeCell ref="Q55:R55"/>
    <mergeCell ref="Q56:R56"/>
    <mergeCell ref="Q57:R57"/>
    <mergeCell ref="Q58:R58"/>
    <mergeCell ref="Q59:R59"/>
    <mergeCell ref="Q60:R60"/>
    <mergeCell ref="Q61:R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Q72:R72"/>
    <mergeCell ref="Q73:R73"/>
    <mergeCell ref="Q74:R74"/>
    <mergeCell ref="Q75:R75"/>
    <mergeCell ref="Q76:R76"/>
    <mergeCell ref="Q87:R87"/>
    <mergeCell ref="Q88:R88"/>
    <mergeCell ref="Q89:R89"/>
    <mergeCell ref="Q90:R90"/>
    <mergeCell ref="Q91:R91"/>
    <mergeCell ref="Q92:R92"/>
    <mergeCell ref="Q93:R93"/>
    <mergeCell ref="Q94:R94"/>
    <mergeCell ref="Q77:R77"/>
    <mergeCell ref="Q78:R78"/>
    <mergeCell ref="Q79:R79"/>
    <mergeCell ref="Q80:R80"/>
    <mergeCell ref="Q81:R81"/>
    <mergeCell ref="Q82:R82"/>
    <mergeCell ref="Q83:R83"/>
    <mergeCell ref="Q84:R84"/>
    <mergeCell ref="Q85:R85"/>
    <mergeCell ref="Q95:R95"/>
    <mergeCell ref="Q96:R96"/>
    <mergeCell ref="Q97:R97"/>
    <mergeCell ref="Q98:R98"/>
    <mergeCell ref="Q99:R99"/>
    <mergeCell ref="O38:P38"/>
    <mergeCell ref="O39:P39"/>
    <mergeCell ref="O40:P40"/>
    <mergeCell ref="O41:P41"/>
    <mergeCell ref="O42:P42"/>
    <mergeCell ref="O43:P43"/>
    <mergeCell ref="O44:P44"/>
    <mergeCell ref="O45:P45"/>
    <mergeCell ref="O46:P46"/>
    <mergeCell ref="O47:P47"/>
    <mergeCell ref="O48:P48"/>
    <mergeCell ref="O49:P49"/>
    <mergeCell ref="O50:P50"/>
    <mergeCell ref="O51:P51"/>
    <mergeCell ref="O52:P52"/>
    <mergeCell ref="O53:P53"/>
    <mergeCell ref="O54:P54"/>
    <mergeCell ref="O55:P55"/>
    <mergeCell ref="Q86:R86"/>
    <mergeCell ref="O56:P56"/>
    <mergeCell ref="O57:P57"/>
    <mergeCell ref="O58:P58"/>
    <mergeCell ref="O59:P59"/>
    <mergeCell ref="O60:P60"/>
    <mergeCell ref="O61:P61"/>
    <mergeCell ref="O62:P62"/>
    <mergeCell ref="O63:P63"/>
    <mergeCell ref="O64:P64"/>
    <mergeCell ref="O65:P65"/>
    <mergeCell ref="O66:P66"/>
    <mergeCell ref="O67:P67"/>
    <mergeCell ref="O68:P68"/>
    <mergeCell ref="O69:P69"/>
    <mergeCell ref="O70:P70"/>
    <mergeCell ref="O71:P71"/>
    <mergeCell ref="O72:P72"/>
    <mergeCell ref="O73:P73"/>
    <mergeCell ref="O74:P74"/>
    <mergeCell ref="O75:P75"/>
    <mergeCell ref="O76:P76"/>
    <mergeCell ref="O77:P77"/>
    <mergeCell ref="O78:P78"/>
    <mergeCell ref="O79:P79"/>
    <mergeCell ref="O80:P80"/>
    <mergeCell ref="O81:P81"/>
    <mergeCell ref="O82:P82"/>
    <mergeCell ref="O92:P92"/>
    <mergeCell ref="O93:P93"/>
    <mergeCell ref="O94:P94"/>
    <mergeCell ref="O95:P95"/>
    <mergeCell ref="O96:P96"/>
    <mergeCell ref="O97:P97"/>
    <mergeCell ref="O98:P98"/>
    <mergeCell ref="O99:P99"/>
    <mergeCell ref="O83:P83"/>
    <mergeCell ref="O84:P84"/>
    <mergeCell ref="O85:P85"/>
    <mergeCell ref="O86:P86"/>
    <mergeCell ref="O87:P87"/>
    <mergeCell ref="O88:P88"/>
    <mergeCell ref="O89:P89"/>
    <mergeCell ref="O90:P90"/>
    <mergeCell ref="O91:P9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Wandu</dc:creator>
  <cp:lastModifiedBy>Wandu</cp:lastModifiedBy>
  <dcterms:created xsi:type="dcterms:W3CDTF">2022-05-26T16:37:39Z</dcterms:created>
  <dcterms:modified xsi:type="dcterms:W3CDTF">2022-06-02T18:09:13Z</dcterms:modified>
</cp:coreProperties>
</file>